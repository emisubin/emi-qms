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arksubin/Downloads/"/>
    </mc:Choice>
  </mc:AlternateContent>
  <xr:revisionPtr revIDLastSave="0" documentId="8_{18172A02-61B0-B74F-B61B-176DE2111AAE}" xr6:coauthVersionLast="47" xr6:coauthVersionMax="47" xr10:uidLastSave="{00000000-0000-0000-0000-000000000000}"/>
  <bookViews>
    <workbookView xWindow="0" yWindow="600" windowWidth="28800" windowHeight="15740" xr2:uid="{568A3482-525D-8542-86C8-6A22B40D383B}"/>
  </bookViews>
  <sheets>
    <sheet name="양식" sheetId="1" r:id="rId1"/>
  </sheets>
  <definedNames>
    <definedName name="_xlnm._FilterDatabase" localSheetId="0" hidden="1">양식!$N$3:$AA$3</definedName>
    <definedName name="_xlnm.Print_Area" localSheetId="0">양식!$A$1:$W$55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0" i="1" l="1"/>
  <c r="Q21" i="1"/>
  <c r="Y21" i="1" s="1"/>
  <c r="Q22" i="1"/>
  <c r="Q23" i="1"/>
  <c r="S23" i="1" s="1"/>
  <c r="Q24" i="1"/>
  <c r="Q25" i="1"/>
  <c r="Q26" i="1"/>
  <c r="Q27" i="1"/>
  <c r="Y27" i="1" s="1"/>
  <c r="Q28" i="1"/>
  <c r="Q29" i="1"/>
  <c r="S29" i="1" s="1"/>
  <c r="Q30" i="1"/>
  <c r="Q31" i="1"/>
  <c r="Q32" i="1"/>
  <c r="Q33" i="1"/>
  <c r="Y33" i="1" s="1"/>
  <c r="Q34" i="1"/>
  <c r="Q35" i="1"/>
  <c r="Y35" i="1" s="1"/>
  <c r="Q36" i="1"/>
  <c r="Q37" i="1"/>
  <c r="Y37" i="1" s="1"/>
  <c r="Q38" i="1"/>
  <c r="Q39" i="1"/>
  <c r="Q40" i="1"/>
  <c r="Q41" i="1"/>
  <c r="Q42" i="1"/>
  <c r="S42" i="1" s="1"/>
  <c r="R42" i="1" s="1"/>
  <c r="Q43" i="1"/>
  <c r="S43" i="1" s="1"/>
  <c r="Q44" i="1"/>
  <c r="Q45" i="1"/>
  <c r="Y45" i="1" s="1"/>
  <c r="Q46" i="1"/>
  <c r="Q47" i="1"/>
  <c r="Q48" i="1"/>
  <c r="Y48" i="1" s="1"/>
  <c r="Q49" i="1"/>
  <c r="Y49" i="1" s="1"/>
  <c r="Q50" i="1"/>
  <c r="S50" i="1" s="1"/>
  <c r="R50" i="1" s="1"/>
  <c r="Q51" i="1"/>
  <c r="Y51" i="1" s="1"/>
  <c r="Q52" i="1"/>
  <c r="Q53" i="1"/>
  <c r="Y53" i="1" s="1"/>
  <c r="Q54" i="1"/>
  <c r="Q55" i="1"/>
  <c r="Q56" i="1"/>
  <c r="Q57" i="1"/>
  <c r="Y57" i="1" s="1"/>
  <c r="Q58" i="1"/>
  <c r="Y58" i="1" s="1"/>
  <c r="Q59" i="1"/>
  <c r="Y59" i="1" s="1"/>
  <c r="Q60" i="1"/>
  <c r="Q61" i="1"/>
  <c r="S61" i="1" s="1"/>
  <c r="Q62" i="1"/>
  <c r="Q63" i="1"/>
  <c r="Q64" i="1"/>
  <c r="Q65" i="1"/>
  <c r="Q66" i="1"/>
  <c r="Q67" i="1"/>
  <c r="Y67" i="1" s="1"/>
  <c r="Q68" i="1"/>
  <c r="Q69" i="1"/>
  <c r="Q70" i="1"/>
  <c r="Q71" i="1"/>
  <c r="Q72" i="1"/>
  <c r="Q73" i="1"/>
  <c r="Y73" i="1" s="1"/>
  <c r="Q74" i="1"/>
  <c r="S74" i="1" s="1"/>
  <c r="Q75" i="1"/>
  <c r="Y75" i="1" s="1"/>
  <c r="Q76" i="1"/>
  <c r="Q77" i="1"/>
  <c r="Q78" i="1"/>
  <c r="Q79" i="1"/>
  <c r="Q80" i="1"/>
  <c r="Q81" i="1"/>
  <c r="Y81" i="1" s="1"/>
  <c r="Q82" i="1"/>
  <c r="Q83" i="1"/>
  <c r="Q84" i="1"/>
  <c r="Q85" i="1"/>
  <c r="S85" i="1" s="1"/>
  <c r="Q86" i="1"/>
  <c r="Q87" i="1"/>
  <c r="Q88" i="1"/>
  <c r="Q89" i="1"/>
  <c r="Y89" i="1" s="1"/>
  <c r="Q90" i="1"/>
  <c r="S90" i="1" s="1"/>
  <c r="Q91" i="1"/>
  <c r="S91" i="1" s="1"/>
  <c r="Q92" i="1"/>
  <c r="Q93" i="1"/>
  <c r="Q94" i="1"/>
  <c r="Q95" i="1"/>
  <c r="S24" i="1"/>
  <c r="R24" i="1" s="1"/>
  <c r="Y26" i="1"/>
  <c r="Y41" i="1"/>
  <c r="S56" i="1"/>
  <c r="Y63" i="1"/>
  <c r="S64" i="1"/>
  <c r="S66" i="1"/>
  <c r="S72" i="1"/>
  <c r="R72" i="1" s="1"/>
  <c r="S80" i="1"/>
  <c r="R80" i="1" s="1"/>
  <c r="Y95" i="1"/>
  <c r="Q13" i="1"/>
  <c r="Q14" i="1"/>
  <c r="S14" i="1" s="1"/>
  <c r="Q15" i="1"/>
  <c r="Q16" i="1"/>
  <c r="Q17" i="1"/>
  <c r="Y17" i="1" s="1"/>
  <c r="Q18" i="1"/>
  <c r="S18" i="1" s="1"/>
  <c r="Q19" i="1"/>
  <c r="Y25" i="1"/>
  <c r="S34" i="1"/>
  <c r="AA34" i="1" s="1"/>
  <c r="Z34" i="1" s="1"/>
  <c r="S82" i="1"/>
  <c r="Y83" i="1"/>
  <c r="S62" i="1"/>
  <c r="Q11" i="1"/>
  <c r="Q12" i="1"/>
  <c r="Y12" i="1" s="1"/>
  <c r="Q5" i="1"/>
  <c r="Q6" i="1"/>
  <c r="Q7" i="1"/>
  <c r="Q8" i="1"/>
  <c r="Q9" i="1"/>
  <c r="Q10" i="1"/>
  <c r="S10" i="1" s="1"/>
  <c r="S8" i="1"/>
  <c r="R8" i="1" s="1"/>
  <c r="Y9" i="1"/>
  <c r="S16" i="1"/>
  <c r="S36" i="1"/>
  <c r="R36" i="1" s="1"/>
  <c r="Y44" i="1"/>
  <c r="Y60" i="1"/>
  <c r="S68" i="1"/>
  <c r="R68" i="1" s="1"/>
  <c r="S76" i="1"/>
  <c r="R76" i="1" s="1"/>
  <c r="S84" i="1"/>
  <c r="R84" i="1" s="1"/>
  <c r="Y92" i="1"/>
  <c r="X95" i="1"/>
  <c r="W95" i="1" s="1"/>
  <c r="B95" i="1"/>
  <c r="X94" i="1"/>
  <c r="W94" i="1" s="1"/>
  <c r="Y94" i="1"/>
  <c r="B94" i="1"/>
  <c r="X93" i="1"/>
  <c r="W93" i="1" s="1"/>
  <c r="Y93" i="1"/>
  <c r="B93" i="1"/>
  <c r="X92" i="1"/>
  <c r="W92" i="1"/>
  <c r="B92" i="1"/>
  <c r="X91" i="1"/>
  <c r="W91" i="1" s="1"/>
  <c r="B91" i="1"/>
  <c r="X90" i="1"/>
  <c r="W90" i="1"/>
  <c r="B90" i="1"/>
  <c r="X89" i="1"/>
  <c r="W89" i="1" s="1"/>
  <c r="B89" i="1"/>
  <c r="X88" i="1"/>
  <c r="W88" i="1" s="1"/>
  <c r="B88" i="1"/>
  <c r="X87" i="1"/>
  <c r="W87" i="1" s="1"/>
  <c r="B87" i="1"/>
  <c r="Y86" i="1"/>
  <c r="X86" i="1"/>
  <c r="W86" i="1"/>
  <c r="S86" i="1"/>
  <c r="AA86" i="1" s="1"/>
  <c r="Z86" i="1" s="1"/>
  <c r="B86" i="1"/>
  <c r="X85" i="1"/>
  <c r="W85" i="1" s="1"/>
  <c r="Y85" i="1"/>
  <c r="B85" i="1"/>
  <c r="X84" i="1"/>
  <c r="W84" i="1"/>
  <c r="B84" i="1"/>
  <c r="X83" i="1"/>
  <c r="W83" i="1" s="1"/>
  <c r="B83" i="1"/>
  <c r="X82" i="1"/>
  <c r="W82" i="1" s="1"/>
  <c r="B82" i="1"/>
  <c r="X81" i="1"/>
  <c r="W81" i="1" s="1"/>
  <c r="B81" i="1"/>
  <c r="X80" i="1"/>
  <c r="W80" i="1" s="1"/>
  <c r="B80" i="1"/>
  <c r="X79" i="1"/>
  <c r="W79" i="1" s="1"/>
  <c r="B79" i="1"/>
  <c r="Y78" i="1"/>
  <c r="X78" i="1"/>
  <c r="W78" i="1"/>
  <c r="S78" i="1"/>
  <c r="R78" i="1" s="1"/>
  <c r="B78" i="1"/>
  <c r="X77" i="1"/>
  <c r="W77" i="1"/>
  <c r="Y77" i="1"/>
  <c r="B77" i="1"/>
  <c r="X76" i="1"/>
  <c r="W76" i="1"/>
  <c r="B76" i="1"/>
  <c r="X75" i="1"/>
  <c r="W75" i="1" s="1"/>
  <c r="B75" i="1"/>
  <c r="X74" i="1"/>
  <c r="W74" i="1"/>
  <c r="B74" i="1"/>
  <c r="X73" i="1"/>
  <c r="W73" i="1" s="1"/>
  <c r="B73" i="1"/>
  <c r="X72" i="1"/>
  <c r="W72" i="1" s="1"/>
  <c r="B72" i="1"/>
  <c r="X71" i="1"/>
  <c r="W71" i="1" s="1"/>
  <c r="B71" i="1"/>
  <c r="Y70" i="1"/>
  <c r="X70" i="1"/>
  <c r="W70" i="1"/>
  <c r="S70" i="1"/>
  <c r="B70" i="1"/>
  <c r="X69" i="1"/>
  <c r="W69" i="1"/>
  <c r="B69" i="1"/>
  <c r="Y68" i="1"/>
  <c r="X68" i="1"/>
  <c r="W68" i="1"/>
  <c r="B68" i="1"/>
  <c r="X67" i="1"/>
  <c r="W67" i="1" s="1"/>
  <c r="B67" i="1"/>
  <c r="X66" i="1"/>
  <c r="W66" i="1" s="1"/>
  <c r="B66" i="1"/>
  <c r="X65" i="1"/>
  <c r="W65" i="1" s="1"/>
  <c r="B65" i="1"/>
  <c r="X64" i="1"/>
  <c r="W64" i="1" s="1"/>
  <c r="B64" i="1"/>
  <c r="X63" i="1"/>
  <c r="W63" i="1" s="1"/>
  <c r="B63" i="1"/>
  <c r="Y62" i="1"/>
  <c r="X62" i="1"/>
  <c r="W62" i="1"/>
  <c r="B62" i="1"/>
  <c r="X61" i="1"/>
  <c r="W61" i="1" s="1"/>
  <c r="Y61" i="1"/>
  <c r="B61" i="1"/>
  <c r="X60" i="1"/>
  <c r="W60" i="1"/>
  <c r="S60" i="1"/>
  <c r="R60" i="1" s="1"/>
  <c r="B60" i="1"/>
  <c r="X59" i="1"/>
  <c r="W59" i="1" s="1"/>
  <c r="B59" i="1"/>
  <c r="X58" i="1"/>
  <c r="W58" i="1" s="1"/>
  <c r="B58" i="1"/>
  <c r="X57" i="1"/>
  <c r="W57" i="1" s="1"/>
  <c r="B57" i="1"/>
  <c r="X56" i="1"/>
  <c r="W56" i="1" s="1"/>
  <c r="B56" i="1"/>
  <c r="X55" i="1"/>
  <c r="W55" i="1" s="1"/>
  <c r="B55" i="1"/>
  <c r="Y54" i="1"/>
  <c r="X54" i="1"/>
  <c r="W54" i="1"/>
  <c r="S54" i="1"/>
  <c r="AA54" i="1" s="1"/>
  <c r="Z54" i="1" s="1"/>
  <c r="B54" i="1"/>
  <c r="X53" i="1"/>
  <c r="W53" i="1"/>
  <c r="B53" i="1"/>
  <c r="Y52" i="1"/>
  <c r="X52" i="1"/>
  <c r="W52" i="1"/>
  <c r="S52" i="1"/>
  <c r="R52" i="1" s="1"/>
  <c r="B52" i="1"/>
  <c r="X51" i="1"/>
  <c r="W51" i="1" s="1"/>
  <c r="B51" i="1"/>
  <c r="X50" i="1"/>
  <c r="W50" i="1" s="1"/>
  <c r="B50" i="1"/>
  <c r="X49" i="1"/>
  <c r="B49" i="1"/>
  <c r="X48" i="1"/>
  <c r="W48" i="1" s="1"/>
  <c r="B48" i="1"/>
  <c r="X47" i="1"/>
  <c r="W47" i="1" s="1"/>
  <c r="B47" i="1"/>
  <c r="Y46" i="1"/>
  <c r="X46" i="1"/>
  <c r="W46" i="1"/>
  <c r="S46" i="1"/>
  <c r="B46" i="1"/>
  <c r="X45" i="1"/>
  <c r="W45" i="1" s="1"/>
  <c r="B45" i="1"/>
  <c r="X44" i="1"/>
  <c r="W44" i="1" s="1"/>
  <c r="S44" i="1"/>
  <c r="AA44" i="1" s="1"/>
  <c r="Z44" i="1" s="1"/>
  <c r="B44" i="1"/>
  <c r="X43" i="1"/>
  <c r="W43" i="1" s="1"/>
  <c r="B43" i="1"/>
  <c r="X42" i="1"/>
  <c r="W42" i="1" s="1"/>
  <c r="B42" i="1"/>
  <c r="X41" i="1"/>
  <c r="W41" i="1" s="1"/>
  <c r="B41" i="1"/>
  <c r="X40" i="1"/>
  <c r="W40" i="1" s="1"/>
  <c r="B40" i="1"/>
  <c r="X39" i="1"/>
  <c r="W39" i="1" s="1"/>
  <c r="B39" i="1"/>
  <c r="Y38" i="1"/>
  <c r="X38" i="1"/>
  <c r="W38" i="1"/>
  <c r="S38" i="1"/>
  <c r="AA38" i="1" s="1"/>
  <c r="Z38" i="1" s="1"/>
  <c r="B38" i="1"/>
  <c r="X37" i="1"/>
  <c r="W37" i="1" s="1"/>
  <c r="B37" i="1"/>
  <c r="Y36" i="1"/>
  <c r="X36" i="1"/>
  <c r="W36" i="1" s="1"/>
  <c r="B36" i="1"/>
  <c r="X35" i="1"/>
  <c r="W35" i="1" s="1"/>
  <c r="B35" i="1"/>
  <c r="X34" i="1"/>
  <c r="W34" i="1" s="1"/>
  <c r="B34" i="1"/>
  <c r="X33" i="1"/>
  <c r="W33" i="1" s="1"/>
  <c r="B33" i="1"/>
  <c r="X32" i="1"/>
  <c r="W32" i="1"/>
  <c r="B32" i="1"/>
  <c r="X31" i="1"/>
  <c r="W31" i="1" s="1"/>
  <c r="Y31" i="1"/>
  <c r="B31" i="1"/>
  <c r="Y30" i="1"/>
  <c r="X30" i="1"/>
  <c r="W30" i="1"/>
  <c r="S30" i="1"/>
  <c r="AA30" i="1" s="1"/>
  <c r="Z30" i="1" s="1"/>
  <c r="B30" i="1"/>
  <c r="X29" i="1"/>
  <c r="W29" i="1" s="1"/>
  <c r="Y29" i="1"/>
  <c r="B29" i="1"/>
  <c r="Y28" i="1"/>
  <c r="X28" i="1"/>
  <c r="W28" i="1"/>
  <c r="S28" i="1"/>
  <c r="R28" i="1" s="1"/>
  <c r="B28" i="1"/>
  <c r="X27" i="1"/>
  <c r="W27" i="1" s="1"/>
  <c r="B27" i="1"/>
  <c r="X26" i="1"/>
  <c r="W26" i="1" s="1"/>
  <c r="B26" i="1"/>
  <c r="X25" i="1"/>
  <c r="W25" i="1" s="1"/>
  <c r="B25" i="1"/>
  <c r="X24" i="1"/>
  <c r="W24" i="1" s="1"/>
  <c r="B24" i="1"/>
  <c r="X23" i="1"/>
  <c r="W23" i="1" s="1"/>
  <c r="B23" i="1"/>
  <c r="Y22" i="1"/>
  <c r="X22" i="1"/>
  <c r="W22" i="1"/>
  <c r="S22" i="1"/>
  <c r="B22" i="1"/>
  <c r="X21" i="1"/>
  <c r="W21" i="1"/>
  <c r="S21" i="1"/>
  <c r="B21" i="1"/>
  <c r="Y20" i="1"/>
  <c r="X20" i="1"/>
  <c r="W20" i="1" s="1"/>
  <c r="S20" i="1"/>
  <c r="R20" i="1" s="1"/>
  <c r="B20" i="1"/>
  <c r="X19" i="1"/>
  <c r="W19" i="1" s="1"/>
  <c r="B19" i="1"/>
  <c r="X18" i="1"/>
  <c r="W18" i="1"/>
  <c r="B18" i="1"/>
  <c r="X17" i="1"/>
  <c r="W17" i="1" s="1"/>
  <c r="B17" i="1"/>
  <c r="X16" i="1"/>
  <c r="W16" i="1"/>
  <c r="B16" i="1"/>
  <c r="X15" i="1"/>
  <c r="W15" i="1" s="1"/>
  <c r="S15" i="1"/>
  <c r="AA15" i="1" s="1"/>
  <c r="Z15" i="1" s="1"/>
  <c r="Y15" i="1"/>
  <c r="B15" i="1"/>
  <c r="X14" i="1"/>
  <c r="W14" i="1"/>
  <c r="B14" i="1"/>
  <c r="X13" i="1"/>
  <c r="W13" i="1"/>
  <c r="S13" i="1"/>
  <c r="Y13" i="1"/>
  <c r="B13" i="1"/>
  <c r="X12" i="1"/>
  <c r="W12" i="1"/>
  <c r="S12" i="1"/>
  <c r="AA12" i="1" s="1"/>
  <c r="Z12" i="1" s="1"/>
  <c r="B12" i="1"/>
  <c r="Y11" i="1"/>
  <c r="X11" i="1"/>
  <c r="W11" i="1"/>
  <c r="S11" i="1"/>
  <c r="R11" i="1" s="1"/>
  <c r="B11" i="1"/>
  <c r="Y10" i="1"/>
  <c r="X10" i="1"/>
  <c r="W10" i="1" s="1"/>
  <c r="B10" i="1"/>
  <c r="X9" i="1"/>
  <c r="W9" i="1" s="1"/>
  <c r="S9" i="1"/>
  <c r="B9" i="1"/>
  <c r="Y8" i="1"/>
  <c r="X8" i="1"/>
  <c r="W8" i="1"/>
  <c r="B8" i="1"/>
  <c r="X7" i="1"/>
  <c r="W7" i="1" s="1"/>
  <c r="S7" i="1"/>
  <c r="Y7" i="1"/>
  <c r="B7" i="1"/>
  <c r="X6" i="1"/>
  <c r="W6" i="1" s="1"/>
  <c r="B6" i="1"/>
  <c r="X5" i="1"/>
  <c r="W5" i="1" s="1"/>
  <c r="B5" i="1"/>
  <c r="Y4" i="1"/>
  <c r="X4" i="1"/>
  <c r="W4" i="1" s="1"/>
  <c r="S4" i="1"/>
  <c r="R4" i="1"/>
  <c r="Q4" i="1"/>
  <c r="B4" i="1"/>
  <c r="A1" i="1"/>
  <c r="AA4" i="1" l="1"/>
  <c r="Z4" i="1" s="1"/>
  <c r="AA10" i="1"/>
  <c r="Z10" i="1" s="1"/>
  <c r="AA64" i="1"/>
  <c r="Z64" i="1" s="1"/>
  <c r="AA46" i="1"/>
  <c r="Z46" i="1" s="1"/>
  <c r="Y24" i="1"/>
  <c r="Y56" i="1"/>
  <c r="Y23" i="1"/>
  <c r="Y14" i="1"/>
  <c r="S26" i="1"/>
  <c r="AA26" i="1" s="1"/>
  <c r="Z26" i="1" s="1"/>
  <c r="Y34" i="1"/>
  <c r="S49" i="1"/>
  <c r="R49" i="1" s="1"/>
  <c r="Y42" i="1"/>
  <c r="S58" i="1"/>
  <c r="R58" i="1" s="1"/>
  <c r="Y91" i="1"/>
  <c r="S67" i="1"/>
  <c r="R67" i="1" s="1"/>
  <c r="R62" i="1"/>
  <c r="AA62" i="1"/>
  <c r="Z62" i="1" s="1"/>
  <c r="Y43" i="1"/>
  <c r="S48" i="1"/>
  <c r="R48" i="1" s="1"/>
  <c r="S59" i="1"/>
  <c r="R59" i="1" s="1"/>
  <c r="S75" i="1"/>
  <c r="AA75" i="1" s="1"/>
  <c r="Z75" i="1" s="1"/>
  <c r="S83" i="1"/>
  <c r="R83" i="1" s="1"/>
  <c r="S35" i="1"/>
  <c r="R35" i="1" s="1"/>
  <c r="Y18" i="1"/>
  <c r="AA14" i="1"/>
  <c r="Z14" i="1" s="1"/>
  <c r="R14" i="1"/>
  <c r="AA20" i="1"/>
  <c r="Z20" i="1" s="1"/>
  <c r="R46" i="1"/>
  <c r="R86" i="1"/>
  <c r="AA52" i="1"/>
  <c r="Z52" i="1" s="1"/>
  <c r="R66" i="1"/>
  <c r="AA66" i="1"/>
  <c r="Z66" i="1" s="1"/>
  <c r="R18" i="1"/>
  <c r="AA18" i="1"/>
  <c r="Z18" i="1" s="1"/>
  <c r="R56" i="1"/>
  <c r="AA56" i="1"/>
  <c r="Z56" i="1" s="1"/>
  <c r="R16" i="1"/>
  <c r="AA16" i="1"/>
  <c r="Z16" i="1" s="1"/>
  <c r="S41" i="1"/>
  <c r="R41" i="1" s="1"/>
  <c r="Y66" i="1"/>
  <c r="Y74" i="1"/>
  <c r="AA76" i="1"/>
  <c r="Z76" i="1" s="1"/>
  <c r="Y82" i="1"/>
  <c r="Y16" i="1"/>
  <c r="Y50" i="1"/>
  <c r="R54" i="1"/>
  <c r="AA68" i="1"/>
  <c r="Z68" i="1" s="1"/>
  <c r="Y76" i="1"/>
  <c r="Y84" i="1"/>
  <c r="S92" i="1"/>
  <c r="R15" i="1"/>
  <c r="AA28" i="1"/>
  <c r="Z28" i="1" s="1"/>
  <c r="R30" i="1"/>
  <c r="R38" i="1"/>
  <c r="AA36" i="1"/>
  <c r="Z36" i="1" s="1"/>
  <c r="R44" i="1"/>
  <c r="AA60" i="1"/>
  <c r="Z60" i="1" s="1"/>
  <c r="AA84" i="1"/>
  <c r="Z84" i="1" s="1"/>
  <c r="AA42" i="1"/>
  <c r="Z42" i="1" s="1"/>
  <c r="AA50" i="1"/>
  <c r="Z50" i="1" s="1"/>
  <c r="AA78" i="1"/>
  <c r="Z78" i="1" s="1"/>
  <c r="AA24" i="1"/>
  <c r="Z24" i="1" s="1"/>
  <c r="R34" i="1"/>
  <c r="R10" i="1"/>
  <c r="AA8" i="1"/>
  <c r="Z8" i="1" s="1"/>
  <c r="AA11" i="1"/>
  <c r="Z11" i="1" s="1"/>
  <c r="R12" i="1"/>
  <c r="R21" i="1"/>
  <c r="AA21" i="1"/>
  <c r="Z21" i="1" s="1"/>
  <c r="R70" i="1"/>
  <c r="AA70" i="1"/>
  <c r="Z70" i="1" s="1"/>
  <c r="S6" i="1"/>
  <c r="Y6" i="1"/>
  <c r="R26" i="1"/>
  <c r="S40" i="1"/>
  <c r="Y40" i="1"/>
  <c r="Y47" i="1"/>
  <c r="S47" i="1"/>
  <c r="R61" i="1"/>
  <c r="AA61" i="1"/>
  <c r="Z61" i="1" s="1"/>
  <c r="R9" i="1"/>
  <c r="AA9" i="1"/>
  <c r="Z9" i="1" s="1"/>
  <c r="S32" i="1"/>
  <c r="Y32" i="1"/>
  <c r="R43" i="1"/>
  <c r="AA43" i="1"/>
  <c r="Z43" i="1" s="1"/>
  <c r="S77" i="1"/>
  <c r="S88" i="1"/>
  <c r="Y88" i="1"/>
  <c r="Y69" i="1"/>
  <c r="S69" i="1"/>
  <c r="R85" i="1"/>
  <c r="AA85" i="1"/>
  <c r="Z85" i="1" s="1"/>
  <c r="R90" i="1"/>
  <c r="AA90" i="1"/>
  <c r="Z90" i="1" s="1"/>
  <c r="AA23" i="1"/>
  <c r="Z23" i="1" s="1"/>
  <c r="R23" i="1"/>
  <c r="R13" i="1"/>
  <c r="AA13" i="1"/>
  <c r="Z13" i="1" s="1"/>
  <c r="Y19" i="1"/>
  <c r="S19" i="1"/>
  <c r="R22" i="1"/>
  <c r="AA22" i="1"/>
  <c r="Z22" i="1" s="1"/>
  <c r="W49" i="1"/>
  <c r="Y65" i="1"/>
  <c r="S65" i="1"/>
  <c r="Y5" i="1"/>
  <c r="S5" i="1"/>
  <c r="Y39" i="1"/>
  <c r="S39" i="1"/>
  <c r="Y55" i="1"/>
  <c r="S55" i="1"/>
  <c r="R7" i="1"/>
  <c r="AA7" i="1"/>
  <c r="Z7" i="1" s="1"/>
  <c r="S27" i="1"/>
  <c r="S33" i="1"/>
  <c r="S53" i="1"/>
  <c r="R64" i="1"/>
  <c r="S25" i="1"/>
  <c r="S45" i="1"/>
  <c r="Y87" i="1"/>
  <c r="S87" i="1"/>
  <c r="S17" i="1"/>
  <c r="S37" i="1"/>
  <c r="S51" i="1"/>
  <c r="Y79" i="1"/>
  <c r="S79" i="1"/>
  <c r="Y80" i="1"/>
  <c r="R82" i="1"/>
  <c r="AA82" i="1"/>
  <c r="Z82" i="1" s="1"/>
  <c r="S31" i="1"/>
  <c r="S57" i="1"/>
  <c r="S63" i="1"/>
  <c r="Y64" i="1"/>
  <c r="Y71" i="1"/>
  <c r="S71" i="1"/>
  <c r="Y72" i="1"/>
  <c r="R74" i="1"/>
  <c r="AA74" i="1"/>
  <c r="Z74" i="1" s="1"/>
  <c r="AA80" i="1"/>
  <c r="Z80" i="1" s="1"/>
  <c r="R91" i="1"/>
  <c r="AA91" i="1"/>
  <c r="Z91" i="1" s="1"/>
  <c r="R29" i="1"/>
  <c r="AA29" i="1"/>
  <c r="Z29" i="1" s="1"/>
  <c r="AA72" i="1"/>
  <c r="Z72" i="1" s="1"/>
  <c r="Y90" i="1"/>
  <c r="S93" i="1"/>
  <c r="S94" i="1"/>
  <c r="S95" i="1"/>
  <c r="S73" i="1"/>
  <c r="S81" i="1"/>
  <c r="S89" i="1"/>
  <c r="AA67" i="1" l="1"/>
  <c r="Z67" i="1" s="1"/>
  <c r="AA49" i="1"/>
  <c r="Z49" i="1" s="1"/>
  <c r="AA58" i="1"/>
  <c r="Z58" i="1" s="1"/>
  <c r="R75" i="1"/>
  <c r="AA59" i="1"/>
  <c r="Z59" i="1" s="1"/>
  <c r="AA35" i="1"/>
  <c r="Z35" i="1" s="1"/>
  <c r="AA83" i="1"/>
  <c r="Z83" i="1" s="1"/>
  <c r="AA48" i="1"/>
  <c r="Z48" i="1" s="1"/>
  <c r="AA41" i="1"/>
  <c r="Z41" i="1" s="1"/>
  <c r="AA92" i="1"/>
  <c r="Z92" i="1" s="1"/>
  <c r="R92" i="1"/>
  <c r="AA95" i="1"/>
  <c r="Z95" i="1" s="1"/>
  <c r="R95" i="1"/>
  <c r="AA79" i="1"/>
  <c r="Z79" i="1" s="1"/>
  <c r="R79" i="1"/>
  <c r="R53" i="1"/>
  <c r="AA53" i="1"/>
  <c r="Z53" i="1" s="1"/>
  <c r="R88" i="1"/>
  <c r="AA88" i="1"/>
  <c r="Z88" i="1" s="1"/>
  <c r="AA94" i="1"/>
  <c r="Z94" i="1" s="1"/>
  <c r="R94" i="1"/>
  <c r="AA39" i="1"/>
  <c r="Z39" i="1" s="1"/>
  <c r="R39" i="1"/>
  <c r="R77" i="1"/>
  <c r="AA77" i="1"/>
  <c r="Z77" i="1" s="1"/>
  <c r="R93" i="1"/>
  <c r="AA93" i="1"/>
  <c r="Z93" i="1" s="1"/>
  <c r="AA63" i="1"/>
  <c r="Z63" i="1" s="1"/>
  <c r="R63" i="1"/>
  <c r="AA47" i="1"/>
  <c r="Z47" i="1" s="1"/>
  <c r="R47" i="1"/>
  <c r="AA6" i="1"/>
  <c r="Z6" i="1" s="1"/>
  <c r="R6" i="1"/>
  <c r="R73" i="1"/>
  <c r="AA73" i="1"/>
  <c r="Z73" i="1" s="1"/>
  <c r="AA87" i="1"/>
  <c r="Z87" i="1" s="1"/>
  <c r="R87" i="1"/>
  <c r="AA55" i="1"/>
  <c r="Z55" i="1" s="1"/>
  <c r="R55" i="1"/>
  <c r="R57" i="1"/>
  <c r="AA57" i="1"/>
  <c r="Z57" i="1" s="1"/>
  <c r="R45" i="1"/>
  <c r="AA45" i="1"/>
  <c r="Z45" i="1" s="1"/>
  <c r="R33" i="1"/>
  <c r="AA33" i="1"/>
  <c r="Z33" i="1" s="1"/>
  <c r="AA5" i="1"/>
  <c r="Z5" i="1" s="1"/>
  <c r="R5" i="1"/>
  <c r="R19" i="1"/>
  <c r="AA19" i="1"/>
  <c r="Z19" i="1" s="1"/>
  <c r="AA31" i="1"/>
  <c r="Z31" i="1" s="1"/>
  <c r="R31" i="1"/>
  <c r="R51" i="1"/>
  <c r="AA51" i="1"/>
  <c r="Z51" i="1" s="1"/>
  <c r="R25" i="1"/>
  <c r="AA25" i="1"/>
  <c r="Z25" i="1" s="1"/>
  <c r="R27" i="1"/>
  <c r="AA27" i="1"/>
  <c r="Z27" i="1" s="1"/>
  <c r="R89" i="1"/>
  <c r="AA89" i="1"/>
  <c r="Z89" i="1" s="1"/>
  <c r="AA71" i="1"/>
  <c r="Z71" i="1" s="1"/>
  <c r="R71" i="1"/>
  <c r="R37" i="1"/>
  <c r="AA37" i="1"/>
  <c r="Z37" i="1" s="1"/>
  <c r="R65" i="1"/>
  <c r="AA65" i="1"/>
  <c r="Z65" i="1" s="1"/>
  <c r="R69" i="1"/>
  <c r="AA69" i="1"/>
  <c r="Z69" i="1" s="1"/>
  <c r="AA32" i="1"/>
  <c r="Z32" i="1" s="1"/>
  <c r="R32" i="1"/>
  <c r="AA40" i="1"/>
  <c r="Z40" i="1" s="1"/>
  <c r="R40" i="1"/>
  <c r="R81" i="1"/>
  <c r="AA81" i="1"/>
  <c r="Z81" i="1" s="1"/>
  <c r="R17" i="1"/>
  <c r="AA17" i="1"/>
  <c r="Z17" i="1" s="1"/>
</calcChain>
</file>

<file path=xl/sharedStrings.xml><?xml version="1.0" encoding="utf-8"?>
<sst xmlns="http://schemas.openxmlformats.org/spreadsheetml/2006/main" count="638" uniqueCount="254">
  <si>
    <t>안전재고 180SET</t>
    <phoneticPr fontId="6" type="noConversion"/>
  </si>
  <si>
    <t>구분</t>
    <phoneticPr fontId="6" type="noConversion"/>
  </si>
  <si>
    <t>NO</t>
    <phoneticPr fontId="6" type="noConversion"/>
  </si>
  <si>
    <t>업체명</t>
    <phoneticPr fontId="6" type="noConversion"/>
  </si>
  <si>
    <t>품명</t>
    <phoneticPr fontId="6" type="noConversion"/>
  </si>
  <si>
    <t>품목코드</t>
  </si>
  <si>
    <t>규격명</t>
    <phoneticPr fontId="6" type="noConversion"/>
  </si>
  <si>
    <t>단위</t>
  </si>
  <si>
    <t>1SET
(수량)</t>
    <phoneticPr fontId="6" type="noConversion"/>
  </si>
  <si>
    <t>포장단위별 인입수량</t>
    <phoneticPr fontId="6" type="noConversion"/>
  </si>
  <si>
    <t>이미지</t>
    <phoneticPr fontId="6" type="noConversion"/>
  </si>
  <si>
    <t>제조 Part</t>
    <phoneticPr fontId="6" type="noConversion"/>
  </si>
  <si>
    <t>자재 Part</t>
    <phoneticPr fontId="6" type="noConversion"/>
  </si>
  <si>
    <t>합계</t>
    <phoneticPr fontId="6" type="noConversion"/>
  </si>
  <si>
    <t>BOX</t>
    <phoneticPr fontId="6" type="noConversion"/>
  </si>
  <si>
    <t>PT(EA)</t>
    <phoneticPr fontId="6" type="noConversion"/>
  </si>
  <si>
    <t>PT(BOX)</t>
    <phoneticPr fontId="6" type="noConversion"/>
  </si>
  <si>
    <t>비고</t>
    <phoneticPr fontId="6" type="noConversion"/>
  </si>
  <si>
    <t>제작중</t>
  </si>
  <si>
    <t>키팅대차</t>
  </si>
  <si>
    <t>적재 랙</t>
  </si>
  <si>
    <t>제조실 합계</t>
    <phoneticPr fontId="6" type="noConversion"/>
  </si>
  <si>
    <t>생산가능대수</t>
    <phoneticPr fontId="6" type="noConversion"/>
  </si>
  <si>
    <t>자재실 합계</t>
    <phoneticPr fontId="6" type="noConversion"/>
  </si>
  <si>
    <t>ERP</t>
    <phoneticPr fontId="6" type="noConversion"/>
  </si>
  <si>
    <t>이동중</t>
    <phoneticPr fontId="6" type="noConversion"/>
  </si>
  <si>
    <t>총재고 합계</t>
    <phoneticPr fontId="6" type="noConversion"/>
  </si>
  <si>
    <t>생산가능대수 합계</t>
    <phoneticPr fontId="6" type="noConversion"/>
  </si>
  <si>
    <t>제조+자재 합계</t>
    <phoneticPr fontId="6" type="noConversion"/>
  </si>
  <si>
    <t>사급</t>
    <phoneticPr fontId="6" type="noConversion"/>
  </si>
  <si>
    <t>서원테크</t>
    <phoneticPr fontId="6" type="noConversion"/>
  </si>
  <si>
    <t>센서</t>
    <phoneticPr fontId="6" type="noConversion"/>
  </si>
  <si>
    <t>09160000760</t>
  </si>
  <si>
    <t>SENSOR,CS,CSHV300A,HONEYWELL</t>
    <phoneticPr fontId="6" type="noConversion"/>
  </si>
  <si>
    <t>EA</t>
  </si>
  <si>
    <t>-</t>
    <phoneticPr fontId="6" type="noConversion"/>
  </si>
  <si>
    <t>장우</t>
    <phoneticPr fontId="6" type="noConversion"/>
  </si>
  <si>
    <t>OSADA(터미널블록)</t>
  </si>
  <si>
    <t>09960000795</t>
  </si>
  <si>
    <t>TERMINAL,OGM-200-3P-C,OSADA</t>
    <phoneticPr fontId="6" type="noConversion"/>
  </si>
  <si>
    <t>U자 OSDA 제품</t>
  </si>
  <si>
    <t>09960000796</t>
  </si>
  <si>
    <t>TERMINAL,OSP-1700,OSADA</t>
    <phoneticPr fontId="6" type="noConversion"/>
  </si>
  <si>
    <t>OKY</t>
    <phoneticPr fontId="6" type="noConversion"/>
  </si>
  <si>
    <t>EMC FILTER</t>
  </si>
  <si>
    <t>09710001229</t>
  </si>
  <si>
    <t>FILTER,EMC FILTER,AC FilterP3B7200-LS,690Vac,200A,OKY</t>
    <phoneticPr fontId="6" type="noConversion"/>
  </si>
  <si>
    <t>수량고정</t>
    <phoneticPr fontId="6" type="noConversion"/>
  </si>
  <si>
    <t>09710001230</t>
  </si>
  <si>
    <t>FILTER,EMC FILTER,DC FilterA1BD200-LS,1500Vdc,200A,OKY</t>
    <phoneticPr fontId="6" type="noConversion"/>
  </si>
  <si>
    <t>스퀘어온</t>
    <phoneticPr fontId="6" type="noConversion"/>
  </si>
  <si>
    <t>FAN</t>
  </si>
  <si>
    <t>07760000477</t>
  </si>
  <si>
    <t>FAN,ASSY,06025VG-24Q-AA-01,DC24V,9200RPM,NMB</t>
    <phoneticPr fontId="6" type="noConversion"/>
  </si>
  <si>
    <t>에스엔에이치무역</t>
    <phoneticPr fontId="6" type="noConversion"/>
  </si>
  <si>
    <t>AC FUSE</t>
  </si>
  <si>
    <t>09360000638</t>
  </si>
  <si>
    <t>FUSE,AN63315UAB,AC690V,315A,ADLER</t>
    <phoneticPr fontId="6" type="noConversion"/>
  </si>
  <si>
    <t>LSEM</t>
    <phoneticPr fontId="6" type="noConversion"/>
  </si>
  <si>
    <t>RELAY</t>
  </si>
  <si>
    <t>GPR-H400-A DC24V LGES</t>
    <phoneticPr fontId="6" type="noConversion"/>
  </si>
  <si>
    <t>GPR-M400-A DC24V BI 1000mm</t>
    <phoneticPr fontId="6" type="noConversion"/>
  </si>
  <si>
    <t>센서</t>
  </si>
  <si>
    <t>09160000769</t>
  </si>
  <si>
    <t>SENSOR,CS,CSNV500M-352T,HONEYWELL</t>
    <phoneticPr fontId="6" type="noConversion"/>
  </si>
  <si>
    <t>새한</t>
    <phoneticPr fontId="6" type="noConversion"/>
  </si>
  <si>
    <t>DC FUSE</t>
  </si>
  <si>
    <t>70100004</t>
  </si>
  <si>
    <t>LSGRFDC1500V300A</t>
    <phoneticPr fontId="6" type="noConversion"/>
  </si>
  <si>
    <t>빅토리전기</t>
    <phoneticPr fontId="6" type="noConversion"/>
  </si>
  <si>
    <t>수냉시스템</t>
  </si>
  <si>
    <t>BASE ASSY,LIQUID SYSTEM,G2 PCS,VF8063024</t>
    <phoneticPr fontId="6" type="noConversion"/>
  </si>
  <si>
    <t>6,4</t>
    <phoneticPr fontId="6" type="noConversion"/>
  </si>
  <si>
    <t>AC FILTER</t>
  </si>
  <si>
    <t>10120007694</t>
  </si>
  <si>
    <t>PCB ASSY, AC FILTER BOARD,G2 PCS</t>
    <phoneticPr fontId="6" type="noConversion"/>
  </si>
  <si>
    <t>JLT</t>
    <phoneticPr fontId="6" type="noConversion"/>
  </si>
  <si>
    <t>VARISTOR 보드</t>
    <phoneticPr fontId="6" type="noConversion"/>
  </si>
  <si>
    <t>PCB ASSY,Varistor,G2 PCS</t>
    <phoneticPr fontId="6" type="noConversion"/>
  </si>
  <si>
    <t>-</t>
  </si>
  <si>
    <t>도급</t>
    <phoneticPr fontId="6" type="noConversion"/>
  </si>
  <si>
    <t>OSADA</t>
  </si>
  <si>
    <t>SUPPORT, OP51-20, OSADA</t>
    <phoneticPr fontId="6" type="noConversion"/>
  </si>
  <si>
    <t>새한솔루텍</t>
    <phoneticPr fontId="6" type="noConversion"/>
  </si>
  <si>
    <t>사출</t>
  </si>
  <si>
    <t>50516915025</t>
  </si>
  <si>
    <t>G2, FUSE_HOLDER_BRK</t>
    <phoneticPr fontId="6" type="noConversion"/>
  </si>
  <si>
    <t>예일</t>
    <phoneticPr fontId="6" type="noConversion"/>
  </si>
  <si>
    <t>판금</t>
  </si>
  <si>
    <t>G2, Bracket, CT Cover</t>
    <phoneticPr fontId="6" type="noConversion"/>
  </si>
  <si>
    <t>G2, Bracket,Fan</t>
    <phoneticPr fontId="6" type="noConversion"/>
  </si>
  <si>
    <t>G2, Bracket, Wire Guide</t>
    <phoneticPr fontId="6" type="noConversion"/>
  </si>
  <si>
    <t>G2, Bracket, Fan supporter</t>
    <phoneticPr fontId="6" type="noConversion"/>
  </si>
  <si>
    <t>G2, Bracket, Control</t>
    <phoneticPr fontId="6" type="noConversion"/>
  </si>
  <si>
    <t>G2, Bracket, AC Filter CAP Support</t>
    <phoneticPr fontId="6" type="noConversion"/>
  </si>
  <si>
    <t>G2, Plate, Filter</t>
    <phoneticPr fontId="6" type="noConversion"/>
  </si>
  <si>
    <t>G2, Plate ,Control</t>
    <phoneticPr fontId="6" type="noConversion"/>
  </si>
  <si>
    <t>G2, Shield ,Plate</t>
    <phoneticPr fontId="6" type="noConversion"/>
  </si>
  <si>
    <t>G2, COVER_FRONT_BODY</t>
    <phoneticPr fontId="6" type="noConversion"/>
  </si>
  <si>
    <t>G2, Cover ,Front</t>
    <phoneticPr fontId="6" type="noConversion"/>
  </si>
  <si>
    <t>G2, Cover, Rear</t>
    <phoneticPr fontId="6" type="noConversion"/>
  </si>
  <si>
    <t>G2, Cover, Side Left</t>
    <phoneticPr fontId="6" type="noConversion"/>
  </si>
  <si>
    <t>G2, Cover, Side Right</t>
    <phoneticPr fontId="6" type="noConversion"/>
  </si>
  <si>
    <t>G2, Cover, Top Front</t>
    <phoneticPr fontId="6" type="noConversion"/>
  </si>
  <si>
    <t>G2, Cover, Top Rear</t>
    <phoneticPr fontId="6" type="noConversion"/>
  </si>
  <si>
    <t>샬롬기획</t>
    <phoneticPr fontId="6" type="noConversion"/>
  </si>
  <si>
    <t>절연스티커</t>
  </si>
  <si>
    <t>G2, INSULATION_PLATE</t>
    <phoneticPr fontId="6" type="noConversion"/>
  </si>
  <si>
    <t>67916915003</t>
  </si>
  <si>
    <t>G2, BUSBAR SUPPORT HOUSING</t>
    <phoneticPr fontId="6" type="noConversion"/>
  </si>
  <si>
    <t>SSI</t>
    <phoneticPr fontId="6" type="noConversion"/>
  </si>
  <si>
    <t>압입 DC FUSE BUS-BAR</t>
  </si>
  <si>
    <t>G2, DC Fuse Busbar, Press</t>
    <phoneticPr fontId="6" type="noConversion"/>
  </si>
  <si>
    <t>BUS-BAR</t>
  </si>
  <si>
    <t>G2, MAIN GROUND BUSBAR</t>
    <phoneticPr fontId="6" type="noConversion"/>
  </si>
  <si>
    <t>G2, DC FILTER N BUSBAR</t>
    <phoneticPr fontId="6" type="noConversion"/>
  </si>
  <si>
    <t>G2, DC FILTER P BUSBAR</t>
    <phoneticPr fontId="6" type="noConversion"/>
  </si>
  <si>
    <t>G2, DCP FUSE BUSBAR</t>
    <phoneticPr fontId="6" type="noConversion"/>
  </si>
  <si>
    <t>70216915049</t>
  </si>
  <si>
    <t>G2, DCN FUSE BUSBAR</t>
    <phoneticPr fontId="6" type="noConversion"/>
  </si>
  <si>
    <t>70216915050</t>
  </si>
  <si>
    <t>G2, AC FUSE RELAY BUSBAR</t>
    <phoneticPr fontId="6" type="noConversion"/>
  </si>
  <si>
    <t>70216915051</t>
  </si>
  <si>
    <t>G2, AC FILTER R BUSBAR</t>
    <phoneticPr fontId="6" type="noConversion"/>
  </si>
  <si>
    <t>70216915052</t>
  </si>
  <si>
    <t>G2, AC FILTER S BUSBAR</t>
    <phoneticPr fontId="6" type="noConversion"/>
  </si>
  <si>
    <t>70216915053</t>
  </si>
  <si>
    <t>G2, AC FILTER T BUSBAR</t>
    <phoneticPr fontId="6" type="noConversion"/>
  </si>
  <si>
    <t>G2, Reactor R Busbar, VF8065388</t>
    <phoneticPr fontId="6" type="noConversion"/>
  </si>
  <si>
    <t>G2, BUSBAR, Reactor ST Busbar, VF8065389</t>
    <phoneticPr fontId="6" type="noConversion"/>
  </si>
  <si>
    <t>G2, BUSBAR,Reactor to IGBT,G2 PCS,VF8065390</t>
    <phoneticPr fontId="6" type="noConversion"/>
  </si>
  <si>
    <t>경림테크</t>
    <phoneticPr fontId="6" type="noConversion"/>
  </si>
  <si>
    <t>하네스</t>
  </si>
  <si>
    <t>WIRE ASSY,G2 MSSP,EMI Production 12종 SET</t>
    <phoneticPr fontId="6" type="noConversion"/>
  </si>
  <si>
    <t>신일금속공업</t>
    <phoneticPr fontId="6" type="noConversion"/>
  </si>
  <si>
    <t>가공핀</t>
  </si>
  <si>
    <t>G2, Spacer, M4, 12.2mm</t>
    <phoneticPr fontId="6" type="noConversion"/>
  </si>
  <si>
    <t>61466915002</t>
  </si>
  <si>
    <t>G2, Spacer, M6, 76.2</t>
    <phoneticPr fontId="6" type="noConversion"/>
  </si>
  <si>
    <t>G2, Fixed position Pin</t>
    <phoneticPr fontId="6" type="noConversion"/>
  </si>
  <si>
    <t>부자재</t>
    <phoneticPr fontId="6" type="noConversion"/>
  </si>
  <si>
    <t>영진공업</t>
  </si>
  <si>
    <t>케이블타이</t>
    <phoneticPr fontId="6" type="noConversion"/>
  </si>
  <si>
    <t>1MB10217</t>
  </si>
  <si>
    <t>100mm 화이트</t>
    <phoneticPr fontId="6" type="noConversion"/>
  </si>
  <si>
    <t>케이블 마운트</t>
    <phoneticPr fontId="6" type="noConversion"/>
  </si>
  <si>
    <t>1MB40001</t>
  </si>
  <si>
    <t xml:space="preserve">	TM2S8-C</t>
    <phoneticPr fontId="6" type="noConversion"/>
  </si>
  <si>
    <t>.</t>
    <phoneticPr fontId="6" type="noConversion"/>
  </si>
  <si>
    <t>SCREW, 접시머리</t>
    <phoneticPr fontId="6" type="noConversion"/>
  </si>
  <si>
    <t>1MB10299</t>
  </si>
  <si>
    <t xml:space="preserve">	M4*7, 백색아연도금</t>
    <phoneticPr fontId="6" type="noConversion"/>
  </si>
  <si>
    <t xml:space="preserve">	둥근머리 십자볼트(+) SAMS</t>
    <phoneticPr fontId="6" type="noConversion"/>
  </si>
  <si>
    <t>1MB10251</t>
    <phoneticPr fontId="6" type="noConversion"/>
  </si>
  <si>
    <t>M4*8 3가백색 (MOQ 2,000)</t>
    <phoneticPr fontId="6" type="noConversion"/>
  </si>
  <si>
    <t>둥근머리 십자볼트(+) SAMS</t>
    <phoneticPr fontId="6" type="noConversion"/>
  </si>
  <si>
    <t>1MB10252</t>
  </si>
  <si>
    <t>M4*10 3가백색 (MOQ 1,000)</t>
    <phoneticPr fontId="6" type="noConversion"/>
  </si>
  <si>
    <t>1MB10253</t>
    <phoneticPr fontId="6" type="noConversion"/>
  </si>
  <si>
    <t xml:space="preserve">	M4*12 3가백색 (MOQ 1,000)</t>
    <phoneticPr fontId="6" type="noConversion"/>
  </si>
  <si>
    <t>PH S.P/W</t>
    <phoneticPr fontId="6" type="noConversion"/>
  </si>
  <si>
    <t>1MB10611</t>
    <phoneticPr fontId="6" type="noConversion"/>
  </si>
  <si>
    <t>4*14</t>
    <phoneticPr fontId="6" type="noConversion"/>
  </si>
  <si>
    <t>1MB10254</t>
    <phoneticPr fontId="6" type="noConversion"/>
  </si>
  <si>
    <t>M4*16 3가백색 (MOQ 1,000)</t>
    <phoneticPr fontId="6" type="noConversion"/>
  </si>
  <si>
    <t>1MB10270</t>
    <phoneticPr fontId="6" type="noConversion"/>
  </si>
  <si>
    <t>M4*35 (Ep-Fe/Zn 3/CM2)</t>
    <phoneticPr fontId="6" type="noConversion"/>
  </si>
  <si>
    <t>BOLT 둥근머리 PC</t>
    <phoneticPr fontId="6" type="noConversion"/>
  </si>
  <si>
    <t>M4x30 (투명)</t>
    <phoneticPr fontId="6" type="noConversion"/>
  </si>
  <si>
    <t>WASHER PC</t>
    <phoneticPr fontId="6" type="noConversion"/>
  </si>
  <si>
    <t>M4 P/W (투명)</t>
    <phoneticPr fontId="6" type="noConversion"/>
  </si>
  <si>
    <t>SCREW,(+)PH,P.S/W</t>
    <phoneticPr fontId="6" type="noConversion"/>
  </si>
  <si>
    <t>1MC02085</t>
    <phoneticPr fontId="6" type="noConversion"/>
  </si>
  <si>
    <t>M4, L50, 백색아연도금</t>
    <phoneticPr fontId="6" type="noConversion"/>
  </si>
  <si>
    <t>1MB10255</t>
    <phoneticPr fontId="6" type="noConversion"/>
  </si>
  <si>
    <t>M5*12 3가백색 (MOQ 1,000)</t>
    <phoneticPr fontId="6" type="noConversion"/>
  </si>
  <si>
    <t>FH M/S 소두</t>
    <phoneticPr fontId="6" type="noConversion"/>
  </si>
  <si>
    <t>1MB61004</t>
    <phoneticPr fontId="6" type="noConversion"/>
  </si>
  <si>
    <t>6*10 SUS (3가백색 도금)</t>
    <phoneticPr fontId="6" type="noConversion"/>
  </si>
  <si>
    <t>육각머리 십자홈(+) SAMS</t>
    <phoneticPr fontId="6" type="noConversion"/>
  </si>
  <si>
    <t>1MB10258</t>
    <phoneticPr fontId="6" type="noConversion"/>
  </si>
  <si>
    <t>M6*12 3가백색 (MOQ 1,000)</t>
    <phoneticPr fontId="6" type="noConversion"/>
  </si>
  <si>
    <t xml:space="preserve">	HEX S.P/W</t>
    <phoneticPr fontId="6" type="noConversion"/>
  </si>
  <si>
    <t>1MB10315</t>
    <phoneticPr fontId="6" type="noConversion"/>
  </si>
  <si>
    <t xml:space="preserve">	6*15 (3가 백색)</t>
    <phoneticPr fontId="6" type="noConversion"/>
  </si>
  <si>
    <t>1MB10266</t>
    <phoneticPr fontId="6" type="noConversion"/>
  </si>
  <si>
    <t xml:space="preserve">	M6*18 (Ep-Fe/Zn 3/CM2)</t>
    <phoneticPr fontId="6" type="noConversion"/>
  </si>
  <si>
    <t xml:space="preserve">	BOLT(+), HEX, P.S/W</t>
    <phoneticPr fontId="6" type="noConversion"/>
  </si>
  <si>
    <t>1MB11020</t>
    <phoneticPr fontId="6" type="noConversion"/>
  </si>
  <si>
    <t>M6*20 (3가 백색)</t>
    <phoneticPr fontId="6" type="noConversion"/>
  </si>
  <si>
    <t>HEX S.P/W</t>
    <phoneticPr fontId="6" type="noConversion"/>
  </si>
  <si>
    <t>1MB10267</t>
    <phoneticPr fontId="6" type="noConversion"/>
  </si>
  <si>
    <t>M6*25 (Ep-Fe/Zn 3/CM2)</t>
    <phoneticPr fontId="6" type="noConversion"/>
  </si>
  <si>
    <t>렌치 BOLT S.P/W</t>
    <phoneticPr fontId="6" type="noConversion"/>
  </si>
  <si>
    <t>1MB10264</t>
    <phoneticPr fontId="6" type="noConversion"/>
  </si>
  <si>
    <t xml:space="preserve">	SEMS BOLT</t>
    <phoneticPr fontId="6" type="noConversion"/>
  </si>
  <si>
    <t>1MB80012</t>
    <phoneticPr fontId="6" type="noConversion"/>
  </si>
  <si>
    <t xml:space="preserve">	M8x25 (8.8)</t>
    <phoneticPr fontId="6" type="noConversion"/>
  </si>
  <si>
    <t>HEX NUT</t>
    <phoneticPr fontId="6" type="noConversion"/>
  </si>
  <si>
    <t>1MB10279</t>
    <phoneticPr fontId="6" type="noConversion"/>
  </si>
  <si>
    <t>M4 (3가 백색)</t>
    <phoneticPr fontId="6" type="noConversion"/>
  </si>
  <si>
    <t>WASHER, SPRING</t>
    <phoneticPr fontId="6" type="noConversion"/>
  </si>
  <si>
    <t>1MB11019</t>
    <phoneticPr fontId="6" type="noConversion"/>
  </si>
  <si>
    <t>M6, 백색아연도금</t>
    <phoneticPr fontId="6" type="noConversion"/>
  </si>
  <si>
    <t>NUT, HEX</t>
    <phoneticPr fontId="6" type="noConversion"/>
  </si>
  <si>
    <t>1MB11018</t>
    <phoneticPr fontId="6" type="noConversion"/>
  </si>
  <si>
    <t>1MB09250</t>
    <phoneticPr fontId="6" type="noConversion"/>
  </si>
  <si>
    <t xml:space="preserve">	WASHER,SPRING LOCK,D12,SWCH,Ep-Fe/Zn 3/CM2</t>
    <phoneticPr fontId="6" type="noConversion"/>
  </si>
  <si>
    <t>1MB09248</t>
    <phoneticPr fontId="6" type="noConversion"/>
  </si>
  <si>
    <t>WASHER,PLAIN,D12,SWCH,Ep-Fe/Zn 3/CM2</t>
    <phoneticPr fontId="6" type="noConversion"/>
  </si>
  <si>
    <t>1MB11015</t>
    <phoneticPr fontId="6" type="noConversion"/>
  </si>
  <si>
    <t>M12, 백색아연도금</t>
    <phoneticPr fontId="6" type="noConversion"/>
  </si>
  <si>
    <t>반도테크</t>
    <phoneticPr fontId="6" type="noConversion"/>
  </si>
  <si>
    <t>리본지 (먹지)</t>
    <phoneticPr fontId="6" type="noConversion"/>
  </si>
  <si>
    <t>1MB57891</t>
    <phoneticPr fontId="6" type="noConversion"/>
  </si>
  <si>
    <t>K4800 80mm*300mm (RC-TU150B)</t>
    <phoneticPr fontId="6" type="noConversion"/>
  </si>
  <si>
    <t>제이에스프린텍</t>
    <phoneticPr fontId="6" type="noConversion"/>
  </si>
  <si>
    <t>45지관 아트지(바코드용지)</t>
    <phoneticPr fontId="6" type="noConversion"/>
  </si>
  <si>
    <t>1MB33958</t>
    <phoneticPr fontId="6" type="noConversion"/>
  </si>
  <si>
    <t xml:space="preserve">	가로50mm*세로20mm</t>
    <phoneticPr fontId="6" type="noConversion"/>
  </si>
  <si>
    <t>넘버링 튜브</t>
    <phoneticPr fontId="6" type="noConversion"/>
  </si>
  <si>
    <t>MA000006</t>
    <phoneticPr fontId="6" type="noConversion"/>
  </si>
  <si>
    <t>UL224 VW-1 (0.75SQ)</t>
    <phoneticPr fontId="6" type="noConversion"/>
  </si>
  <si>
    <t>반도테크</t>
  </si>
  <si>
    <t>리본지 (넘버링기 먹지)</t>
  </si>
  <si>
    <t xml:space="preserve">	RC-TU150B</t>
  </si>
  <si>
    <t>세기일렉트론</t>
    <phoneticPr fontId="6" type="noConversion"/>
  </si>
  <si>
    <t>수축튜브 (LS TUBE)</t>
    <phoneticPr fontId="6" type="noConversion"/>
  </si>
  <si>
    <t>1MC35798</t>
    <phoneticPr fontId="6" type="noConversion"/>
  </si>
  <si>
    <t>GSHS-1625G / 3MM / BLACK / 300M</t>
    <phoneticPr fontId="6" type="noConversion"/>
  </si>
  <si>
    <t>형제전기</t>
  </si>
  <si>
    <t>CONNECTOR, HOUSING</t>
  </si>
  <si>
    <t>1MC02053</t>
  </si>
  <si>
    <t>SMH250-02L</t>
    <phoneticPr fontId="6" type="noConversion"/>
  </si>
  <si>
    <t>CONNECTOR, TERMINAL</t>
  </si>
  <si>
    <t>1MC02056</t>
  </si>
  <si>
    <t>YST025L3</t>
  </si>
  <si>
    <t>CONNECTOR, RETAINER</t>
  </si>
  <si>
    <t>1MC02054</t>
  </si>
  <si>
    <t>SMH250J-02RT</t>
  </si>
  <si>
    <t>아이캡코리아</t>
  </si>
  <si>
    <t>TERMINAL CAP</t>
  </si>
  <si>
    <t>1MA15684</t>
  </si>
  <si>
    <t>2.5SQ, RED, 실리콘 (변색 없음)</t>
  </si>
  <si>
    <t>1MA15685</t>
  </si>
  <si>
    <t>2.5SQ, BLACK, 실리콘 (변색 없음)</t>
  </si>
  <si>
    <t>1MA15686</t>
  </si>
  <si>
    <t>2.5SQ, BLUE, 실리콘 (변색 없음)</t>
  </si>
  <si>
    <t>창대라벨</t>
  </si>
  <si>
    <t>LABEL</t>
    <phoneticPr fontId="6" type="noConversion"/>
  </si>
  <si>
    <t>MA000007</t>
    <phoneticPr fontId="6" type="noConversion"/>
  </si>
  <si>
    <t>Modular scalable string platform</t>
    <phoneticPr fontId="6" type="noConversion"/>
  </si>
  <si>
    <t>MA000008</t>
    <phoneticPr fontId="6" type="noConversion"/>
  </si>
  <si>
    <t>CA65 경고라벨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</si>
</sst>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\(0\)"/>
    <numFmt numFmtId="177" formatCode="#,##0_ ;[Red]\-#,##0\ "/>
    <numFmt numFmtId="178" formatCode="_-* #,##0_-;\-* #,##0_-;_-* &quot;-&quot;_-;_-@_-"/>
    <numFmt numFmtId="179" formatCode="0000&quot; &quot;0000&quot; &quot;000"/>
  </numFmts>
  <fonts count="1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맑은 고딕"/>
      <family val="2"/>
      <scheme val="minor"/>
    </font>
    <font>
      <b/>
      <sz val="26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6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26"/>
      <name val="Arial"/>
      <family val="2"/>
    </font>
    <font>
      <sz val="26"/>
      <color theme="1"/>
      <name val="Arial"/>
      <family val="2"/>
    </font>
    <font>
      <sz val="26"/>
      <color theme="1"/>
      <name val="맑은 고딕"/>
      <family val="3"/>
      <charset val="129"/>
      <scheme val="major"/>
    </font>
    <font>
      <sz val="26"/>
      <name val="맑은 고딕"/>
      <family val="2"/>
      <charset val="129"/>
    </font>
    <font>
      <sz val="26"/>
      <color indexed="8"/>
      <name val="맑은 고딕"/>
      <family val="3"/>
      <charset val="129"/>
      <scheme val="minor"/>
    </font>
    <font>
      <sz val="26"/>
      <color indexed="8"/>
      <name val="Arial"/>
      <family val="2"/>
    </font>
    <font>
      <sz val="26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E9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theme="1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theme="1"/>
      </left>
      <right style="thick">
        <color theme="1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theme="1"/>
      </right>
      <top style="thick">
        <color indexed="64"/>
      </top>
      <bottom style="thin">
        <color indexed="64"/>
      </bottom>
      <diagonal/>
    </border>
    <border>
      <left style="thin">
        <color theme="1"/>
      </left>
      <right style="thick">
        <color theme="1"/>
      </right>
      <top style="thick">
        <color indexed="64"/>
      </top>
      <bottom style="thin">
        <color indexed="64"/>
      </bottom>
      <diagonal/>
    </border>
    <border>
      <left style="thin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8" fontId="1" fillId="0" borderId="0" applyFont="0" applyFill="0" applyBorder="0" applyAlignment="0" applyProtection="0">
      <alignment vertical="center"/>
    </xf>
  </cellStyleXfs>
  <cellXfs count="185">
    <xf numFmtId="0" fontId="0" fillId="0" borderId="0" xfId="0"/>
    <xf numFmtId="14" fontId="2" fillId="0" borderId="1" xfId="0" applyNumberFormat="1" applyFont="1" applyBorder="1" applyAlignment="1">
      <alignment horizontal="left" vertical="center"/>
    </xf>
    <xf numFmtId="14" fontId="2" fillId="0" borderId="0" xfId="0" applyNumberFormat="1" applyFont="1"/>
    <xf numFmtId="176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177" fontId="2" fillId="0" borderId="0" xfId="0" applyNumberFormat="1" applyFont="1"/>
    <xf numFmtId="0" fontId="4" fillId="0" borderId="0" xfId="0" applyFont="1" applyAlignment="1">
      <alignment vertical="center"/>
    </xf>
    <xf numFmtId="177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/>
    </xf>
    <xf numFmtId="37" fontId="9" fillId="2" borderId="2" xfId="1" applyNumberFormat="1" applyFont="1" applyFill="1" applyBorder="1" applyAlignment="1">
      <alignment horizontal="center" vertical="center" wrapText="1"/>
    </xf>
    <xf numFmtId="37" fontId="9" fillId="2" borderId="4" xfId="1" applyNumberFormat="1" applyFont="1" applyFill="1" applyBorder="1" applyAlignment="1">
      <alignment horizontal="center" vertical="center" wrapText="1"/>
    </xf>
    <xf numFmtId="37" fontId="9" fillId="2" borderId="5" xfId="1" applyNumberFormat="1" applyFont="1" applyFill="1" applyBorder="1" applyAlignment="1">
      <alignment horizontal="center" vertical="center" wrapText="1"/>
    </xf>
    <xf numFmtId="37" fontId="9" fillId="2" borderId="6" xfId="1" applyNumberFormat="1" applyFont="1" applyFill="1" applyBorder="1" applyAlignment="1">
      <alignment horizontal="center" vertical="center" wrapText="1"/>
    </xf>
    <xf numFmtId="177" fontId="9" fillId="2" borderId="4" xfId="0" applyNumberFormat="1" applyFont="1" applyFill="1" applyBorder="1" applyAlignment="1">
      <alignment horizontal="center" vertical="center"/>
    </xf>
    <xf numFmtId="177" fontId="2" fillId="3" borderId="7" xfId="0" applyNumberFormat="1" applyFont="1" applyFill="1" applyBorder="1" applyAlignment="1">
      <alignment horizontal="center" vertical="center"/>
    </xf>
    <xf numFmtId="177" fontId="2" fillId="3" borderId="8" xfId="0" applyNumberFormat="1" applyFont="1" applyFill="1" applyBorder="1" applyAlignment="1">
      <alignment horizontal="center" vertical="center"/>
    </xf>
    <xf numFmtId="177" fontId="2" fillId="3" borderId="9" xfId="0" applyNumberFormat="1" applyFont="1" applyFill="1" applyBorder="1" applyAlignment="1">
      <alignment horizontal="center" vertical="center"/>
    </xf>
    <xf numFmtId="177" fontId="2" fillId="3" borderId="10" xfId="0" applyNumberFormat="1" applyFont="1" applyFill="1" applyBorder="1" applyAlignment="1">
      <alignment horizontal="center" vertical="center"/>
    </xf>
    <xf numFmtId="177" fontId="2" fillId="3" borderId="11" xfId="0" applyNumberFormat="1" applyFont="1" applyFill="1" applyBorder="1" applyAlignment="1">
      <alignment horizontal="center" vertical="center"/>
    </xf>
    <xf numFmtId="177" fontId="2" fillId="3" borderId="12" xfId="0" applyNumberFormat="1" applyFont="1" applyFill="1" applyBorder="1" applyAlignment="1">
      <alignment horizontal="center" vertical="center"/>
    </xf>
    <xf numFmtId="177" fontId="2" fillId="3" borderId="13" xfId="0" applyNumberFormat="1" applyFont="1" applyFill="1" applyBorder="1" applyAlignment="1">
      <alignment horizontal="center" vertical="center"/>
    </xf>
    <xf numFmtId="177" fontId="2" fillId="3" borderId="14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37" fontId="9" fillId="2" borderId="2" xfId="1" applyNumberFormat="1" applyFont="1" applyFill="1" applyBorder="1" applyAlignment="1">
      <alignment horizontal="center" vertical="center"/>
    </xf>
    <xf numFmtId="37" fontId="9" fillId="2" borderId="4" xfId="1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77" fontId="9" fillId="2" borderId="6" xfId="0" applyNumberFormat="1" applyFont="1" applyFill="1" applyBorder="1" applyAlignment="1">
      <alignment horizontal="center" vertical="center"/>
    </xf>
    <xf numFmtId="177" fontId="9" fillId="2" borderId="17" xfId="0" applyNumberFormat="1" applyFont="1" applyFill="1" applyBorder="1" applyAlignment="1">
      <alignment horizontal="center" vertical="center"/>
    </xf>
    <xf numFmtId="177" fontId="9" fillId="2" borderId="16" xfId="0" applyNumberFormat="1" applyFont="1" applyFill="1" applyBorder="1" applyAlignment="1">
      <alignment horizontal="center" vertical="center"/>
    </xf>
    <xf numFmtId="177" fontId="9" fillId="2" borderId="2" xfId="0" applyNumberFormat="1" applyFont="1" applyFill="1" applyBorder="1" applyAlignment="1">
      <alignment horizontal="center" vertical="center"/>
    </xf>
    <xf numFmtId="177" fontId="9" fillId="2" borderId="18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37" fontId="11" fillId="0" borderId="2" xfId="1" applyNumberFormat="1" applyFont="1" applyBorder="1" applyAlignment="1">
      <alignment horizontal="center" vertical="center"/>
    </xf>
    <xf numFmtId="37" fontId="11" fillId="0" borderId="4" xfId="1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/>
    </xf>
    <xf numFmtId="178" fontId="13" fillId="0" borderId="16" xfId="1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178" fontId="12" fillId="0" borderId="6" xfId="1" applyFont="1" applyBorder="1" applyAlignment="1">
      <alignment horizontal="center" vertical="center"/>
    </xf>
    <xf numFmtId="178" fontId="2" fillId="6" borderId="17" xfId="1" applyFont="1" applyFill="1" applyBorder="1" applyAlignment="1">
      <alignment horizontal="center" vertical="center"/>
    </xf>
    <xf numFmtId="178" fontId="12" fillId="0" borderId="17" xfId="1" applyFont="1" applyFill="1" applyBorder="1" applyAlignment="1">
      <alignment horizontal="center" vertical="center"/>
    </xf>
    <xf numFmtId="178" fontId="2" fillId="0" borderId="16" xfId="1" applyFont="1" applyBorder="1" applyAlignment="1">
      <alignment horizontal="center" vertical="center"/>
    </xf>
    <xf numFmtId="178" fontId="2" fillId="0" borderId="6" xfId="1" applyFont="1" applyFill="1" applyBorder="1" applyAlignment="1">
      <alignment horizontal="center" vertical="center"/>
    </xf>
    <xf numFmtId="178" fontId="2" fillId="0" borderId="2" xfId="1" applyFont="1" applyBorder="1" applyAlignment="1">
      <alignment horizontal="center" vertical="center"/>
    </xf>
    <xf numFmtId="178" fontId="2" fillId="0" borderId="18" xfId="1" applyFont="1" applyFill="1" applyBorder="1" applyAlignment="1">
      <alignment horizontal="center" vertical="center"/>
    </xf>
    <xf numFmtId="178" fontId="10" fillId="0" borderId="19" xfId="1" applyFont="1" applyBorder="1" applyAlignment="1">
      <alignment horizontal="center" vertical="center"/>
    </xf>
    <xf numFmtId="178" fontId="10" fillId="6" borderId="18" xfId="1" applyFont="1" applyFill="1" applyBorder="1" applyAlignment="1">
      <alignment horizontal="center" vertical="center"/>
    </xf>
    <xf numFmtId="178" fontId="10" fillId="0" borderId="18" xfId="1" applyFont="1" applyFill="1" applyBorder="1" applyAlignment="1">
      <alignment horizontal="center" vertical="center"/>
    </xf>
    <xf numFmtId="37" fontId="14" fillId="0" borderId="4" xfId="1" applyNumberFormat="1" applyFont="1" applyBorder="1" applyAlignment="1">
      <alignment horizontal="center" vertical="center"/>
    </xf>
    <xf numFmtId="178" fontId="13" fillId="0" borderId="21" xfId="1" applyFont="1" applyBorder="1" applyAlignment="1">
      <alignment horizontal="right" vertical="center"/>
    </xf>
    <xf numFmtId="178" fontId="13" fillId="0" borderId="2" xfId="1" applyFont="1" applyBorder="1" applyAlignment="1">
      <alignment horizontal="right" vertical="center"/>
    </xf>
    <xf numFmtId="37" fontId="11" fillId="0" borderId="2" xfId="1" applyNumberFormat="1" applyFont="1" applyFill="1" applyBorder="1" applyAlignment="1">
      <alignment horizontal="center" vertical="center"/>
    </xf>
    <xf numFmtId="37" fontId="11" fillId="0" borderId="4" xfId="1" applyNumberFormat="1" applyFont="1" applyFill="1" applyBorder="1" applyAlignment="1">
      <alignment horizontal="center" vertical="center"/>
    </xf>
    <xf numFmtId="177" fontId="13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37" fontId="11" fillId="0" borderId="22" xfId="1" applyNumberFormat="1" applyFont="1" applyFill="1" applyBorder="1" applyAlignment="1">
      <alignment horizontal="center" vertical="center"/>
    </xf>
    <xf numFmtId="37" fontId="11" fillId="0" borderId="23" xfId="1" applyNumberFormat="1" applyFont="1" applyFill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/>
    </xf>
    <xf numFmtId="178" fontId="13" fillId="0" borderId="24" xfId="1" applyFont="1" applyBorder="1" applyAlignment="1">
      <alignment horizontal="right" vertical="center"/>
    </xf>
    <xf numFmtId="0" fontId="13" fillId="0" borderId="22" xfId="0" applyFont="1" applyBorder="1" applyAlignment="1">
      <alignment horizontal="right" vertical="center"/>
    </xf>
    <xf numFmtId="178" fontId="13" fillId="0" borderId="22" xfId="1" applyFont="1" applyBorder="1" applyAlignment="1">
      <alignment horizontal="right" vertical="center"/>
    </xf>
    <xf numFmtId="178" fontId="12" fillId="0" borderId="22" xfId="1" applyFont="1" applyBorder="1" applyAlignment="1">
      <alignment horizontal="center" vertical="center"/>
    </xf>
    <xf numFmtId="178" fontId="2" fillId="6" borderId="25" xfId="1" applyFont="1" applyFill="1" applyBorder="1" applyAlignment="1">
      <alignment horizontal="center" vertical="center"/>
    </xf>
    <xf numFmtId="178" fontId="12" fillId="0" borderId="26" xfId="1" applyFont="1" applyFill="1" applyBorder="1" applyAlignment="1">
      <alignment horizontal="center" vertical="center"/>
    </xf>
    <xf numFmtId="178" fontId="2" fillId="0" borderId="24" xfId="1" applyFont="1" applyBorder="1" applyAlignment="1">
      <alignment horizontal="center" vertical="center"/>
    </xf>
    <xf numFmtId="178" fontId="2" fillId="0" borderId="27" xfId="1" applyFont="1" applyFill="1" applyBorder="1" applyAlignment="1">
      <alignment horizontal="center" vertical="center"/>
    </xf>
    <xf numFmtId="178" fontId="2" fillId="0" borderId="22" xfId="1" applyFont="1" applyBorder="1" applyAlignment="1">
      <alignment horizontal="center" vertical="center"/>
    </xf>
    <xf numFmtId="178" fontId="2" fillId="0" borderId="26" xfId="1" applyFont="1" applyFill="1" applyBorder="1" applyAlignment="1">
      <alignment horizontal="center" vertical="center"/>
    </xf>
    <xf numFmtId="178" fontId="10" fillId="0" borderId="28" xfId="1" applyFont="1" applyBorder="1" applyAlignment="1">
      <alignment horizontal="center" vertical="center"/>
    </xf>
    <xf numFmtId="178" fontId="10" fillId="6" borderId="29" xfId="1" applyFont="1" applyFill="1" applyBorder="1" applyAlignment="1">
      <alignment horizontal="center" vertical="center"/>
    </xf>
    <xf numFmtId="178" fontId="10" fillId="0" borderId="26" xfId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37" fontId="16" fillId="0" borderId="15" xfId="1" applyNumberFormat="1" applyFont="1" applyBorder="1" applyAlignment="1">
      <alignment horizontal="center" vertical="center"/>
    </xf>
    <xf numFmtId="37" fontId="16" fillId="0" borderId="31" xfId="1" applyNumberFormat="1" applyFont="1" applyBorder="1" applyAlignment="1">
      <alignment horizontal="center" vertical="center"/>
    </xf>
    <xf numFmtId="177" fontId="12" fillId="0" borderId="31" xfId="0" applyNumberFormat="1" applyFont="1" applyBorder="1" applyAlignment="1">
      <alignment horizontal="center"/>
    </xf>
    <xf numFmtId="178" fontId="13" fillId="0" borderId="32" xfId="1" applyFont="1" applyBorder="1" applyAlignment="1">
      <alignment horizontal="right" vertical="center"/>
    </xf>
    <xf numFmtId="178" fontId="12" fillId="0" borderId="33" xfId="1" applyFont="1" applyBorder="1" applyAlignment="1">
      <alignment horizontal="center" vertical="center"/>
    </xf>
    <xf numFmtId="178" fontId="2" fillId="6" borderId="34" xfId="1" applyFont="1" applyFill="1" applyBorder="1" applyAlignment="1">
      <alignment horizontal="center" vertical="center"/>
    </xf>
    <xf numFmtId="178" fontId="12" fillId="0" borderId="34" xfId="1" applyFont="1" applyFill="1" applyBorder="1" applyAlignment="1">
      <alignment horizontal="center" vertical="center"/>
    </xf>
    <xf numFmtId="178" fontId="2" fillId="0" borderId="32" xfId="1" applyFont="1" applyBorder="1" applyAlignment="1">
      <alignment horizontal="center" vertical="center"/>
    </xf>
    <xf numFmtId="178" fontId="2" fillId="0" borderId="33" xfId="1" applyFont="1" applyFill="1" applyBorder="1" applyAlignment="1">
      <alignment horizontal="center" vertical="center"/>
    </xf>
    <xf numFmtId="178" fontId="2" fillId="0" borderId="15" xfId="1" applyFont="1" applyBorder="1" applyAlignment="1">
      <alignment horizontal="center" vertical="center"/>
    </xf>
    <xf numFmtId="178" fontId="2" fillId="0" borderId="35" xfId="1" applyFont="1" applyFill="1" applyBorder="1" applyAlignment="1">
      <alignment horizontal="center" vertical="center"/>
    </xf>
    <xf numFmtId="178" fontId="10" fillId="0" borderId="36" xfId="1" applyFont="1" applyBorder="1" applyAlignment="1">
      <alignment horizontal="center" vertical="center"/>
    </xf>
    <xf numFmtId="178" fontId="10" fillId="0" borderId="35" xfId="1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37" fontId="16" fillId="0" borderId="2" xfId="1" applyNumberFormat="1" applyFont="1" applyBorder="1" applyAlignment="1">
      <alignment horizontal="center" vertical="center"/>
    </xf>
    <xf numFmtId="37" fontId="16" fillId="0" borderId="4" xfId="1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right" vertical="center"/>
    </xf>
    <xf numFmtId="178" fontId="13" fillId="0" borderId="38" xfId="1" applyFont="1" applyBorder="1" applyAlignment="1">
      <alignment horizontal="right" vertical="center"/>
    </xf>
    <xf numFmtId="178" fontId="12" fillId="0" borderId="2" xfId="0" applyNumberFormat="1" applyFont="1" applyBorder="1" applyAlignment="1">
      <alignment horizontal="center" vertical="center"/>
    </xf>
    <xf numFmtId="176" fontId="15" fillId="7" borderId="2" xfId="0" applyNumberFormat="1" applyFont="1" applyFill="1" applyBorder="1" applyAlignment="1">
      <alignment horizontal="left" vertical="center"/>
    </xf>
    <xf numFmtId="178" fontId="17" fillId="0" borderId="2" xfId="1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176" fontId="2" fillId="0" borderId="2" xfId="0" applyNumberFormat="1" applyFont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37" fontId="16" fillId="0" borderId="2" xfId="1" applyNumberFormat="1" applyFont="1" applyFill="1" applyBorder="1" applyAlignment="1">
      <alignment horizontal="center" vertical="center"/>
    </xf>
    <xf numFmtId="37" fontId="16" fillId="0" borderId="4" xfId="1" applyNumberFormat="1" applyFont="1" applyFill="1" applyBorder="1" applyAlignment="1">
      <alignment horizontal="center" vertical="center"/>
    </xf>
    <xf numFmtId="178" fontId="13" fillId="0" borderId="2" xfId="1" applyFont="1" applyFill="1" applyBorder="1" applyAlignment="1">
      <alignment horizontal="right" vertical="center"/>
    </xf>
    <xf numFmtId="178" fontId="2" fillId="0" borderId="16" xfId="1" applyFont="1" applyFill="1" applyBorder="1" applyAlignment="1">
      <alignment horizontal="center" vertical="center"/>
    </xf>
    <xf numFmtId="178" fontId="2" fillId="0" borderId="2" xfId="1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left" vertical="center"/>
    </xf>
    <xf numFmtId="178" fontId="13" fillId="0" borderId="4" xfId="1" applyFont="1" applyBorder="1" applyAlignment="1">
      <alignment horizontal="right" vertical="center"/>
    </xf>
    <xf numFmtId="0" fontId="2" fillId="8" borderId="2" xfId="0" applyFont="1" applyFill="1" applyBorder="1" applyAlignment="1">
      <alignment horizontal="left" vertical="center"/>
    </xf>
    <xf numFmtId="0" fontId="13" fillId="0" borderId="31" xfId="0" applyFont="1" applyBorder="1" applyAlignment="1">
      <alignment horizontal="right" vertical="center"/>
    </xf>
    <xf numFmtId="0" fontId="2" fillId="0" borderId="39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76" fontId="15" fillId="0" borderId="22" xfId="0" applyNumberFormat="1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37" fontId="16" fillId="0" borderId="22" xfId="1" applyNumberFormat="1" applyFont="1" applyBorder="1" applyAlignment="1">
      <alignment horizontal="center" vertical="center"/>
    </xf>
    <xf numFmtId="37" fontId="16" fillId="0" borderId="23" xfId="1" applyNumberFormat="1" applyFont="1" applyBorder="1" applyAlignment="1">
      <alignment horizontal="center" vertical="center"/>
    </xf>
    <xf numFmtId="178" fontId="10" fillId="6" borderId="40" xfId="1" applyFont="1" applyFill="1" applyBorder="1" applyAlignment="1">
      <alignment horizontal="center" vertical="center"/>
    </xf>
    <xf numFmtId="178" fontId="10" fillId="0" borderId="41" xfId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37" fontId="16" fillId="0" borderId="12" xfId="1" applyNumberFormat="1" applyFont="1" applyBorder="1" applyAlignment="1">
      <alignment horizontal="center" vertical="center"/>
    </xf>
    <xf numFmtId="37" fontId="16" fillId="0" borderId="13" xfId="1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/>
    </xf>
    <xf numFmtId="178" fontId="13" fillId="0" borderId="10" xfId="1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/>
    </xf>
    <xf numFmtId="178" fontId="13" fillId="0" borderId="12" xfId="1" applyFont="1" applyBorder="1" applyAlignment="1">
      <alignment horizontal="right" vertical="center"/>
    </xf>
    <xf numFmtId="178" fontId="12" fillId="0" borderId="11" xfId="1" applyFont="1" applyBorder="1" applyAlignment="1">
      <alignment horizontal="center" vertical="center"/>
    </xf>
    <xf numFmtId="178" fontId="2" fillId="6" borderId="14" xfId="1" applyFont="1" applyFill="1" applyBorder="1" applyAlignment="1">
      <alignment horizontal="center" vertical="center"/>
    </xf>
    <xf numFmtId="178" fontId="12" fillId="0" borderId="42" xfId="1" applyFont="1" applyFill="1" applyBorder="1" applyAlignment="1">
      <alignment horizontal="center" vertical="center"/>
    </xf>
    <xf numFmtId="178" fontId="2" fillId="0" borderId="10" xfId="1" applyFont="1" applyBorder="1" applyAlignment="1">
      <alignment horizontal="center" vertical="center"/>
    </xf>
    <xf numFmtId="178" fontId="2" fillId="0" borderId="11" xfId="1" applyFont="1" applyBorder="1" applyAlignment="1">
      <alignment horizontal="center" vertical="center"/>
    </xf>
    <xf numFmtId="178" fontId="2" fillId="0" borderId="12" xfId="1" applyFont="1" applyBorder="1" applyAlignment="1">
      <alignment horizontal="center" vertical="center"/>
    </xf>
    <xf numFmtId="178" fontId="2" fillId="0" borderId="42" xfId="1" applyFont="1" applyFill="1" applyBorder="1" applyAlignment="1">
      <alignment horizontal="center" vertical="center"/>
    </xf>
    <xf numFmtId="178" fontId="10" fillId="0" borderId="43" xfId="1" applyFont="1" applyBorder="1" applyAlignment="1">
      <alignment horizontal="center" vertical="center"/>
    </xf>
    <xf numFmtId="178" fontId="10" fillId="6" borderId="44" xfId="1" applyFont="1" applyFill="1" applyBorder="1" applyAlignment="1">
      <alignment horizontal="center" vertical="center"/>
    </xf>
    <xf numFmtId="178" fontId="10" fillId="0" borderId="9" xfId="1" applyFont="1" applyFill="1" applyBorder="1" applyAlignment="1">
      <alignment horizontal="center" vertical="center"/>
    </xf>
    <xf numFmtId="178" fontId="12" fillId="0" borderId="2" xfId="1" applyFont="1" applyBorder="1" applyAlignment="1">
      <alignment horizontal="center" vertical="center"/>
    </xf>
    <xf numFmtId="178" fontId="12" fillId="0" borderId="20" xfId="1" applyFont="1" applyFill="1" applyBorder="1" applyAlignment="1">
      <alignment horizontal="center" vertical="center"/>
    </xf>
    <xf numFmtId="178" fontId="2" fillId="0" borderId="6" xfId="1" applyFont="1" applyBorder="1" applyAlignment="1">
      <alignment horizontal="center" vertical="center"/>
    </xf>
    <xf numFmtId="178" fontId="2" fillId="0" borderId="20" xfId="1" applyFont="1" applyFill="1" applyBorder="1" applyAlignment="1">
      <alignment horizontal="center" vertical="center"/>
    </xf>
    <xf numFmtId="178" fontId="10" fillId="6" borderId="45" xfId="1" applyFont="1" applyFill="1" applyBorder="1" applyAlignment="1">
      <alignment horizontal="center" vertical="center"/>
    </xf>
    <xf numFmtId="179" fontId="9" fillId="0" borderId="2" xfId="0" applyNumberFormat="1" applyFont="1" applyBorder="1" applyAlignment="1">
      <alignment horizontal="left" vertical="center"/>
    </xf>
    <xf numFmtId="178" fontId="2" fillId="0" borderId="27" xfId="1" applyFont="1" applyBorder="1" applyAlignment="1">
      <alignment horizontal="center" vertical="center"/>
    </xf>
    <xf numFmtId="176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77" fontId="8" fillId="0" borderId="0" xfId="0" applyNumberFormat="1" applyFont="1"/>
    <xf numFmtId="0" fontId="0" fillId="0" borderId="0" xfId="0" applyAlignment="1">
      <alignment vertical="center"/>
    </xf>
    <xf numFmtId="177" fontId="8" fillId="0" borderId="0" xfId="0" applyNumberFormat="1" applyFont="1" applyAlignment="1">
      <alignment vertical="center"/>
    </xf>
  </cellXfs>
  <cellStyles count="2">
    <cellStyle name="쉼표 [0]" xfId="1" builtinId="6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8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1.png"/><Relationship Id="rId47" Type="http://schemas.openxmlformats.org/officeDocument/2006/relationships/image" Target="../media/image46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6.png"/><Relationship Id="rId40" Type="http://schemas.openxmlformats.org/officeDocument/2006/relationships/image" Target="../media/image39.png"/><Relationship Id="rId45" Type="http://schemas.openxmlformats.org/officeDocument/2006/relationships/image" Target="../media/image4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microsoft.com/office/2007/relationships/hdphoto" Target="../media/hdphoto1.wdp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2.png"/><Relationship Id="rId48" Type="http://schemas.openxmlformats.org/officeDocument/2006/relationships/image" Target="../media/image47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7.png"/><Relationship Id="rId46" Type="http://schemas.openxmlformats.org/officeDocument/2006/relationships/image" Target="../media/image45.png"/><Relationship Id="rId20" Type="http://schemas.openxmlformats.org/officeDocument/2006/relationships/image" Target="../media/image20.png"/><Relationship Id="rId4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402412</xdr:colOff>
      <xdr:row>24</xdr:row>
      <xdr:rowOff>55806</xdr:rowOff>
    </xdr:from>
    <xdr:to>
      <xdr:col>12</xdr:col>
      <xdr:colOff>1049371</xdr:colOff>
      <xdr:row>24</xdr:row>
      <xdr:rowOff>584985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4985D4F-48A5-DA43-A2A1-025FFB0A7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10112" y="20159906"/>
          <a:ext cx="646959" cy="529179"/>
        </a:xfrm>
        <a:prstGeom prst="rect">
          <a:avLst/>
        </a:prstGeom>
      </xdr:spPr>
    </xdr:pic>
    <xdr:clientData/>
  </xdr:twoCellAnchor>
  <xdr:twoCellAnchor>
    <xdr:from>
      <xdr:col>12</xdr:col>
      <xdr:colOff>383009</xdr:colOff>
      <xdr:row>25</xdr:row>
      <xdr:rowOff>169770</xdr:rowOff>
    </xdr:from>
    <xdr:to>
      <xdr:col>12</xdr:col>
      <xdr:colOff>1068773</xdr:colOff>
      <xdr:row>25</xdr:row>
      <xdr:rowOff>552226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F0E47F4-4C4F-0547-A9DE-D9754EB00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90709" y="21162870"/>
          <a:ext cx="685764" cy="382456"/>
        </a:xfrm>
        <a:prstGeom prst="rect">
          <a:avLst/>
        </a:prstGeom>
      </xdr:spPr>
    </xdr:pic>
    <xdr:clientData/>
  </xdr:twoCellAnchor>
  <xdr:twoCellAnchor>
    <xdr:from>
      <xdr:col>12</xdr:col>
      <xdr:colOff>436453</xdr:colOff>
      <xdr:row>19</xdr:row>
      <xdr:rowOff>53901</xdr:rowOff>
    </xdr:from>
    <xdr:to>
      <xdr:col>12</xdr:col>
      <xdr:colOff>1007709</xdr:colOff>
      <xdr:row>19</xdr:row>
      <xdr:rowOff>613520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312BA6C-5FB9-F24E-8F3C-665411AB2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44153" y="15713001"/>
          <a:ext cx="571256" cy="559619"/>
        </a:xfrm>
        <a:prstGeom prst="rect">
          <a:avLst/>
        </a:prstGeom>
      </xdr:spPr>
    </xdr:pic>
    <xdr:clientData/>
  </xdr:twoCellAnchor>
  <xdr:twoCellAnchor>
    <xdr:from>
      <xdr:col>12</xdr:col>
      <xdr:colOff>327005</xdr:colOff>
      <xdr:row>31</xdr:row>
      <xdr:rowOff>93233</xdr:rowOff>
    </xdr:from>
    <xdr:to>
      <xdr:col>12</xdr:col>
      <xdr:colOff>1124777</xdr:colOff>
      <xdr:row>31</xdr:row>
      <xdr:rowOff>592502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C2FE085-BB94-9448-8088-23A587D5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34705" y="26420333"/>
          <a:ext cx="797772" cy="499269"/>
        </a:xfrm>
        <a:prstGeom prst="rect">
          <a:avLst/>
        </a:prstGeom>
      </xdr:spPr>
    </xdr:pic>
    <xdr:clientData/>
  </xdr:twoCellAnchor>
  <xdr:twoCellAnchor>
    <xdr:from>
      <xdr:col>12</xdr:col>
      <xdr:colOff>358573</xdr:colOff>
      <xdr:row>32</xdr:row>
      <xdr:rowOff>127075</xdr:rowOff>
    </xdr:from>
    <xdr:to>
      <xdr:col>12</xdr:col>
      <xdr:colOff>1085590</xdr:colOff>
      <xdr:row>32</xdr:row>
      <xdr:rowOff>588393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714167-CEF9-3248-B6DD-568F12F3B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66273" y="27343175"/>
          <a:ext cx="727017" cy="461318"/>
        </a:xfrm>
        <a:prstGeom prst="rect">
          <a:avLst/>
        </a:prstGeom>
      </xdr:spPr>
    </xdr:pic>
    <xdr:clientData/>
  </xdr:twoCellAnchor>
  <xdr:twoCellAnchor>
    <xdr:from>
      <xdr:col>12</xdr:col>
      <xdr:colOff>344822</xdr:colOff>
      <xdr:row>23</xdr:row>
      <xdr:rowOff>112059</xdr:rowOff>
    </xdr:from>
    <xdr:to>
      <xdr:col>12</xdr:col>
      <xdr:colOff>1106961</xdr:colOff>
      <xdr:row>23</xdr:row>
      <xdr:rowOff>615173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A4F3A00-CE77-9746-9CCB-89584167C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52522" y="19327159"/>
          <a:ext cx="762139" cy="503114"/>
        </a:xfrm>
        <a:prstGeom prst="rect">
          <a:avLst/>
        </a:prstGeom>
      </xdr:spPr>
    </xdr:pic>
    <xdr:clientData/>
  </xdr:twoCellAnchor>
  <xdr:twoCellAnchor>
    <xdr:from>
      <xdr:col>12</xdr:col>
      <xdr:colOff>336218</xdr:colOff>
      <xdr:row>21</xdr:row>
      <xdr:rowOff>78441</xdr:rowOff>
    </xdr:from>
    <xdr:to>
      <xdr:col>12</xdr:col>
      <xdr:colOff>1121280</xdr:colOff>
      <xdr:row>21</xdr:row>
      <xdr:rowOff>589436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010C629-7285-7948-98E6-702A30BE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43918" y="17515541"/>
          <a:ext cx="785062" cy="510995"/>
        </a:xfrm>
        <a:prstGeom prst="rect">
          <a:avLst/>
        </a:prstGeom>
      </xdr:spPr>
    </xdr:pic>
    <xdr:clientData/>
  </xdr:twoCellAnchor>
  <xdr:twoCellAnchor>
    <xdr:from>
      <xdr:col>12</xdr:col>
      <xdr:colOff>397132</xdr:colOff>
      <xdr:row>22</xdr:row>
      <xdr:rowOff>55806</xdr:rowOff>
    </xdr:from>
    <xdr:to>
      <xdr:col>12</xdr:col>
      <xdr:colOff>1047031</xdr:colOff>
      <xdr:row>22</xdr:row>
      <xdr:rowOff>551803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BB36C2C-2BE1-4D4E-A774-C1F79CE19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904832" y="18381906"/>
          <a:ext cx="649899" cy="495997"/>
        </a:xfrm>
        <a:prstGeom prst="rect">
          <a:avLst/>
        </a:prstGeom>
      </xdr:spPr>
    </xdr:pic>
    <xdr:clientData/>
  </xdr:twoCellAnchor>
  <xdr:twoCellAnchor>
    <xdr:from>
      <xdr:col>12</xdr:col>
      <xdr:colOff>325894</xdr:colOff>
      <xdr:row>26</xdr:row>
      <xdr:rowOff>55805</xdr:rowOff>
    </xdr:from>
    <xdr:to>
      <xdr:col>12</xdr:col>
      <xdr:colOff>1125888</xdr:colOff>
      <xdr:row>26</xdr:row>
      <xdr:rowOff>551826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0AFA973-0BA9-3E4D-9DA5-5AF7C43E2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33594" y="21937905"/>
          <a:ext cx="799994" cy="496021"/>
        </a:xfrm>
        <a:prstGeom prst="rect">
          <a:avLst/>
        </a:prstGeom>
      </xdr:spPr>
    </xdr:pic>
    <xdr:clientData/>
  </xdr:twoCellAnchor>
  <xdr:twoCellAnchor>
    <xdr:from>
      <xdr:col>12</xdr:col>
      <xdr:colOff>404833</xdr:colOff>
      <xdr:row>28</xdr:row>
      <xdr:rowOff>56029</xdr:rowOff>
    </xdr:from>
    <xdr:to>
      <xdr:col>12</xdr:col>
      <xdr:colOff>1046950</xdr:colOff>
      <xdr:row>28</xdr:row>
      <xdr:rowOff>576704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060BA65-1C7C-C24B-93EF-AABC75573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912533" y="23716129"/>
          <a:ext cx="642117" cy="520675"/>
        </a:xfrm>
        <a:prstGeom prst="rect">
          <a:avLst/>
        </a:prstGeom>
      </xdr:spPr>
    </xdr:pic>
    <xdr:clientData/>
  </xdr:twoCellAnchor>
  <xdr:twoCellAnchor>
    <xdr:from>
      <xdr:col>12</xdr:col>
      <xdr:colOff>376619</xdr:colOff>
      <xdr:row>18</xdr:row>
      <xdr:rowOff>55805</xdr:rowOff>
    </xdr:from>
    <xdr:to>
      <xdr:col>12</xdr:col>
      <xdr:colOff>1078974</xdr:colOff>
      <xdr:row>18</xdr:row>
      <xdr:rowOff>591285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AB7F043-1DF1-6545-9D1A-77023A974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884319" y="14825905"/>
          <a:ext cx="702355" cy="535480"/>
        </a:xfrm>
        <a:prstGeom prst="rect">
          <a:avLst/>
        </a:prstGeom>
      </xdr:spPr>
    </xdr:pic>
    <xdr:clientData/>
  </xdr:twoCellAnchor>
  <xdr:twoCellAnchor>
    <xdr:from>
      <xdr:col>12</xdr:col>
      <xdr:colOff>353548</xdr:colOff>
      <xdr:row>44</xdr:row>
      <xdr:rowOff>55805</xdr:rowOff>
    </xdr:from>
    <xdr:to>
      <xdr:col>12</xdr:col>
      <xdr:colOff>1094425</xdr:colOff>
      <xdr:row>44</xdr:row>
      <xdr:rowOff>592677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17A56EA-A6CB-0846-BFF4-0931B7CFD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61248" y="37939905"/>
          <a:ext cx="740877" cy="536872"/>
        </a:xfrm>
        <a:prstGeom prst="rect">
          <a:avLst/>
        </a:prstGeom>
      </xdr:spPr>
    </xdr:pic>
    <xdr:clientData/>
  </xdr:twoCellAnchor>
  <xdr:twoCellAnchor>
    <xdr:from>
      <xdr:col>12</xdr:col>
      <xdr:colOff>357073</xdr:colOff>
      <xdr:row>45</xdr:row>
      <xdr:rowOff>56029</xdr:rowOff>
    </xdr:from>
    <xdr:to>
      <xdr:col>12</xdr:col>
      <xdr:colOff>1088994</xdr:colOff>
      <xdr:row>45</xdr:row>
      <xdr:rowOff>573216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6427AD2-F22D-CA4C-9C3B-BE707B490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864773" y="38829129"/>
          <a:ext cx="731921" cy="517187"/>
        </a:xfrm>
        <a:prstGeom prst="rect">
          <a:avLst/>
        </a:prstGeom>
      </xdr:spPr>
    </xdr:pic>
    <xdr:clientData/>
  </xdr:twoCellAnchor>
  <xdr:twoCellAnchor>
    <xdr:from>
      <xdr:col>12</xdr:col>
      <xdr:colOff>311462</xdr:colOff>
      <xdr:row>46</xdr:row>
      <xdr:rowOff>78442</xdr:rowOff>
    </xdr:from>
    <xdr:to>
      <xdr:col>12</xdr:col>
      <xdr:colOff>1140320</xdr:colOff>
      <xdr:row>46</xdr:row>
      <xdr:rowOff>573703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BFF4A4D-99D4-C24E-938B-BE41DCA5D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9162" y="39740542"/>
          <a:ext cx="828858" cy="495261"/>
        </a:xfrm>
        <a:prstGeom prst="rect">
          <a:avLst/>
        </a:prstGeom>
      </xdr:spPr>
    </xdr:pic>
    <xdr:clientData/>
  </xdr:twoCellAnchor>
  <xdr:twoCellAnchor>
    <xdr:from>
      <xdr:col>12</xdr:col>
      <xdr:colOff>249219</xdr:colOff>
      <xdr:row>47</xdr:row>
      <xdr:rowOff>97267</xdr:rowOff>
    </xdr:from>
    <xdr:to>
      <xdr:col>12</xdr:col>
      <xdr:colOff>1202564</xdr:colOff>
      <xdr:row>47</xdr:row>
      <xdr:rowOff>533735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A2C0009-92D3-8945-B906-472A52367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756919" y="40648367"/>
          <a:ext cx="953345" cy="436468"/>
        </a:xfrm>
        <a:prstGeom prst="rect">
          <a:avLst/>
        </a:prstGeom>
      </xdr:spPr>
    </xdr:pic>
    <xdr:clientData/>
  </xdr:twoCellAnchor>
  <xdr:twoCellAnchor>
    <xdr:from>
      <xdr:col>12</xdr:col>
      <xdr:colOff>367126</xdr:colOff>
      <xdr:row>41</xdr:row>
      <xdr:rowOff>55805</xdr:rowOff>
    </xdr:from>
    <xdr:to>
      <xdr:col>12</xdr:col>
      <xdr:colOff>1084657</xdr:colOff>
      <xdr:row>41</xdr:row>
      <xdr:rowOff>613259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99502A67-4C55-B24D-9881-2034A7DC9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74826" y="35272905"/>
          <a:ext cx="717531" cy="557454"/>
        </a:xfrm>
        <a:prstGeom prst="rect">
          <a:avLst/>
        </a:prstGeom>
      </xdr:spPr>
    </xdr:pic>
    <xdr:clientData/>
  </xdr:twoCellAnchor>
  <xdr:twoCellAnchor>
    <xdr:from>
      <xdr:col>12</xdr:col>
      <xdr:colOff>285991</xdr:colOff>
      <xdr:row>42</xdr:row>
      <xdr:rowOff>54348</xdr:rowOff>
    </xdr:from>
    <xdr:to>
      <xdr:col>12</xdr:col>
      <xdr:colOff>1165791</xdr:colOff>
      <xdr:row>42</xdr:row>
      <xdr:rowOff>587672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D33C39B-3718-7D4F-BB6A-A5D54F8FE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793691" y="36160448"/>
          <a:ext cx="879800" cy="533324"/>
        </a:xfrm>
        <a:prstGeom prst="rect">
          <a:avLst/>
        </a:prstGeom>
      </xdr:spPr>
    </xdr:pic>
    <xdr:clientData/>
  </xdr:twoCellAnchor>
  <xdr:twoCellAnchor>
    <xdr:from>
      <xdr:col>12</xdr:col>
      <xdr:colOff>371630</xdr:colOff>
      <xdr:row>43</xdr:row>
      <xdr:rowOff>78441</xdr:rowOff>
    </xdr:from>
    <xdr:to>
      <xdr:col>12</xdr:col>
      <xdr:colOff>1087772</xdr:colOff>
      <xdr:row>43</xdr:row>
      <xdr:rowOff>552561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88B540B-2254-A548-8075-D1DFBDF04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79330" y="37073541"/>
          <a:ext cx="716142" cy="474120"/>
        </a:xfrm>
        <a:prstGeom prst="rect">
          <a:avLst/>
        </a:prstGeom>
      </xdr:spPr>
    </xdr:pic>
    <xdr:clientData/>
  </xdr:twoCellAnchor>
  <xdr:twoCellAnchor>
    <xdr:from>
      <xdr:col>12</xdr:col>
      <xdr:colOff>339271</xdr:colOff>
      <xdr:row>38</xdr:row>
      <xdr:rowOff>72726</xdr:rowOff>
    </xdr:from>
    <xdr:to>
      <xdr:col>12</xdr:col>
      <xdr:colOff>1116321</xdr:colOff>
      <xdr:row>38</xdr:row>
      <xdr:rowOff>608384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BB313793-C492-DF4A-A13D-7E2322055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846971" y="32622826"/>
          <a:ext cx="777050" cy="535658"/>
        </a:xfrm>
        <a:prstGeom prst="rect">
          <a:avLst/>
        </a:prstGeom>
      </xdr:spPr>
    </xdr:pic>
    <xdr:clientData/>
  </xdr:twoCellAnchor>
  <xdr:twoCellAnchor>
    <xdr:from>
      <xdr:col>12</xdr:col>
      <xdr:colOff>402222</xdr:colOff>
      <xdr:row>39</xdr:row>
      <xdr:rowOff>57935</xdr:rowOff>
    </xdr:from>
    <xdr:to>
      <xdr:col>12</xdr:col>
      <xdr:colOff>1049560</xdr:colOff>
      <xdr:row>39</xdr:row>
      <xdr:rowOff>591325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14D1B8A3-A137-5047-AF74-A20F4E040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909922" y="33497035"/>
          <a:ext cx="647338" cy="533390"/>
        </a:xfrm>
        <a:prstGeom prst="rect">
          <a:avLst/>
        </a:prstGeom>
      </xdr:spPr>
    </xdr:pic>
    <xdr:clientData/>
  </xdr:twoCellAnchor>
  <xdr:twoCellAnchor>
    <xdr:from>
      <xdr:col>12</xdr:col>
      <xdr:colOff>400148</xdr:colOff>
      <xdr:row>37</xdr:row>
      <xdr:rowOff>98948</xdr:rowOff>
    </xdr:from>
    <xdr:to>
      <xdr:col>12</xdr:col>
      <xdr:colOff>1044015</xdr:colOff>
      <xdr:row>37</xdr:row>
      <xdr:rowOff>554981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4CFD2BE-CF59-5C4B-A993-9712A64AF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907848" y="31760048"/>
          <a:ext cx="643867" cy="456033"/>
        </a:xfrm>
        <a:prstGeom prst="rect">
          <a:avLst/>
        </a:prstGeom>
      </xdr:spPr>
    </xdr:pic>
    <xdr:clientData/>
  </xdr:twoCellAnchor>
  <xdr:twoCellAnchor>
    <xdr:from>
      <xdr:col>12</xdr:col>
      <xdr:colOff>378745</xdr:colOff>
      <xdr:row>20</xdr:row>
      <xdr:rowOff>136151</xdr:rowOff>
    </xdr:from>
    <xdr:to>
      <xdr:col>12</xdr:col>
      <xdr:colOff>1076847</xdr:colOff>
      <xdr:row>20</xdr:row>
      <xdr:rowOff>548803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F4ADBCB-B5C7-D743-B6F5-85B00E8AF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86445" y="16684251"/>
          <a:ext cx="698102" cy="412652"/>
        </a:xfrm>
        <a:prstGeom prst="rect">
          <a:avLst/>
        </a:prstGeom>
      </xdr:spPr>
    </xdr:pic>
    <xdr:clientData/>
  </xdr:twoCellAnchor>
  <xdr:twoCellAnchor>
    <xdr:from>
      <xdr:col>12</xdr:col>
      <xdr:colOff>455909</xdr:colOff>
      <xdr:row>53</xdr:row>
      <xdr:rowOff>78441</xdr:rowOff>
    </xdr:from>
    <xdr:to>
      <xdr:col>12</xdr:col>
      <xdr:colOff>999684</xdr:colOff>
      <xdr:row>53</xdr:row>
      <xdr:rowOff>548976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8B55FE4-5177-1549-A99D-F430BA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3963609" y="45963541"/>
          <a:ext cx="543775" cy="470535"/>
        </a:xfrm>
        <a:prstGeom prst="rect">
          <a:avLst/>
        </a:prstGeom>
      </xdr:spPr>
    </xdr:pic>
    <xdr:clientData/>
  </xdr:twoCellAnchor>
  <xdr:twoCellAnchor>
    <xdr:from>
      <xdr:col>12</xdr:col>
      <xdr:colOff>379535</xdr:colOff>
      <xdr:row>52</xdr:row>
      <xdr:rowOff>25998</xdr:rowOff>
    </xdr:from>
    <xdr:to>
      <xdr:col>12</xdr:col>
      <xdr:colOff>1076058</xdr:colOff>
      <xdr:row>52</xdr:row>
      <xdr:rowOff>597459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810B3EC-B3F6-DF4C-A33B-A4A8B37B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87235" y="45022098"/>
          <a:ext cx="696523" cy="571461"/>
        </a:xfrm>
        <a:prstGeom prst="rect">
          <a:avLst/>
        </a:prstGeom>
      </xdr:spPr>
    </xdr:pic>
    <xdr:clientData/>
  </xdr:twoCellAnchor>
  <xdr:twoCellAnchor>
    <xdr:from>
      <xdr:col>12</xdr:col>
      <xdr:colOff>398890</xdr:colOff>
      <xdr:row>54</xdr:row>
      <xdr:rowOff>56029</xdr:rowOff>
    </xdr:from>
    <xdr:to>
      <xdr:col>12</xdr:col>
      <xdr:colOff>1045272</xdr:colOff>
      <xdr:row>54</xdr:row>
      <xdr:rowOff>591973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9209F71-98D6-1C44-9944-99CBE488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906590" y="46830129"/>
          <a:ext cx="646382" cy="535944"/>
        </a:xfrm>
        <a:prstGeom prst="rect">
          <a:avLst/>
        </a:prstGeom>
      </xdr:spPr>
    </xdr:pic>
    <xdr:clientData/>
  </xdr:twoCellAnchor>
  <xdr:twoCellAnchor>
    <xdr:from>
      <xdr:col>12</xdr:col>
      <xdr:colOff>433431</xdr:colOff>
      <xdr:row>17</xdr:row>
      <xdr:rowOff>54746</xdr:rowOff>
    </xdr:from>
    <xdr:to>
      <xdr:col>12</xdr:col>
      <xdr:colOff>1012636</xdr:colOff>
      <xdr:row>17</xdr:row>
      <xdr:rowOff>593365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E69C469F-EEA2-E344-8D9C-762C3FB88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941131" y="13935846"/>
          <a:ext cx="579205" cy="538619"/>
        </a:xfrm>
        <a:prstGeom prst="rect">
          <a:avLst/>
        </a:prstGeom>
      </xdr:spPr>
    </xdr:pic>
    <xdr:clientData/>
  </xdr:twoCellAnchor>
  <xdr:twoCellAnchor>
    <xdr:from>
      <xdr:col>12</xdr:col>
      <xdr:colOff>324777</xdr:colOff>
      <xdr:row>48</xdr:row>
      <xdr:rowOff>98051</xdr:rowOff>
    </xdr:from>
    <xdr:to>
      <xdr:col>12</xdr:col>
      <xdr:colOff>1127006</xdr:colOff>
      <xdr:row>48</xdr:row>
      <xdr:rowOff>592231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A136B926-279C-1842-ABAA-E7158AEDB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832477" y="41538151"/>
          <a:ext cx="802229" cy="494180"/>
        </a:xfrm>
        <a:prstGeom prst="rect">
          <a:avLst/>
        </a:prstGeom>
      </xdr:spPr>
    </xdr:pic>
    <xdr:clientData/>
  </xdr:twoCellAnchor>
  <xdr:twoCellAnchor>
    <xdr:from>
      <xdr:col>12</xdr:col>
      <xdr:colOff>265274</xdr:colOff>
      <xdr:row>49</xdr:row>
      <xdr:rowOff>35860</xdr:rowOff>
    </xdr:from>
    <xdr:to>
      <xdr:col>12</xdr:col>
      <xdr:colOff>1190319</xdr:colOff>
      <xdr:row>49</xdr:row>
      <xdr:rowOff>570556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76E04A8D-20CE-DF49-B4C8-9751EDE6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772974" y="42364960"/>
          <a:ext cx="925045" cy="534696"/>
        </a:xfrm>
        <a:prstGeom prst="rect">
          <a:avLst/>
        </a:prstGeom>
      </xdr:spPr>
    </xdr:pic>
    <xdr:clientData/>
  </xdr:twoCellAnchor>
  <xdr:twoCellAnchor>
    <xdr:from>
      <xdr:col>12</xdr:col>
      <xdr:colOff>362591</xdr:colOff>
      <xdr:row>50</xdr:row>
      <xdr:rowOff>54350</xdr:rowOff>
    </xdr:from>
    <xdr:to>
      <xdr:col>12</xdr:col>
      <xdr:colOff>1089191</xdr:colOff>
      <xdr:row>51</xdr:row>
      <xdr:rowOff>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96E176E-CAFF-B843-9735-E946C1B7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870291" y="43272450"/>
          <a:ext cx="726600" cy="834651"/>
        </a:xfrm>
        <a:prstGeom prst="rect">
          <a:avLst/>
        </a:prstGeom>
      </xdr:spPr>
    </xdr:pic>
    <xdr:clientData/>
  </xdr:twoCellAnchor>
  <xdr:twoCellAnchor>
    <xdr:from>
      <xdr:col>12</xdr:col>
      <xdr:colOff>324384</xdr:colOff>
      <xdr:row>33</xdr:row>
      <xdr:rowOff>21179</xdr:rowOff>
    </xdr:from>
    <xdr:to>
      <xdr:col>12</xdr:col>
      <xdr:colOff>1127399</xdr:colOff>
      <xdr:row>33</xdr:row>
      <xdr:rowOff>586969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CCE519BC-90BD-8245-A670-6D9C06D9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32084" y="28126279"/>
          <a:ext cx="803015" cy="565790"/>
        </a:xfrm>
        <a:prstGeom prst="rect">
          <a:avLst/>
        </a:prstGeom>
      </xdr:spPr>
    </xdr:pic>
    <xdr:clientData/>
  </xdr:twoCellAnchor>
  <xdr:twoCellAnchor>
    <xdr:from>
      <xdr:col>12</xdr:col>
      <xdr:colOff>248466</xdr:colOff>
      <xdr:row>34</xdr:row>
      <xdr:rowOff>111582</xdr:rowOff>
    </xdr:from>
    <xdr:to>
      <xdr:col>12</xdr:col>
      <xdr:colOff>1095376</xdr:colOff>
      <xdr:row>34</xdr:row>
      <xdr:rowOff>554468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709C950-8CA6-BC4C-ABCB-31509D561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756166" y="29105682"/>
          <a:ext cx="846910" cy="442886"/>
        </a:xfrm>
        <a:prstGeom prst="rect">
          <a:avLst/>
        </a:prstGeom>
      </xdr:spPr>
    </xdr:pic>
    <xdr:clientData/>
  </xdr:twoCellAnchor>
  <xdr:twoCellAnchor>
    <xdr:from>
      <xdr:col>12</xdr:col>
      <xdr:colOff>326962</xdr:colOff>
      <xdr:row>29</xdr:row>
      <xdr:rowOff>35860</xdr:rowOff>
    </xdr:from>
    <xdr:to>
      <xdr:col>12</xdr:col>
      <xdr:colOff>1124821</xdr:colOff>
      <xdr:row>29</xdr:row>
      <xdr:rowOff>609602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FE03D766-81A0-0D44-872C-0C9630144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34662" y="24584960"/>
          <a:ext cx="797859" cy="573742"/>
        </a:xfrm>
        <a:prstGeom prst="rect">
          <a:avLst/>
        </a:prstGeom>
      </xdr:spPr>
    </xdr:pic>
    <xdr:clientData/>
  </xdr:twoCellAnchor>
  <xdr:twoCellAnchor>
    <xdr:from>
      <xdr:col>12</xdr:col>
      <xdr:colOff>350046</xdr:colOff>
      <xdr:row>30</xdr:row>
      <xdr:rowOff>35860</xdr:rowOff>
    </xdr:from>
    <xdr:to>
      <xdr:col>12</xdr:col>
      <xdr:colOff>1101737</xdr:colOff>
      <xdr:row>30</xdr:row>
      <xdr:rowOff>587861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A701012-D222-4541-9012-F63DA36F9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3857746" y="25473960"/>
          <a:ext cx="751691" cy="552001"/>
        </a:xfrm>
        <a:prstGeom prst="rect">
          <a:avLst/>
        </a:prstGeom>
      </xdr:spPr>
    </xdr:pic>
    <xdr:clientData/>
  </xdr:twoCellAnchor>
  <xdr:twoCellAnchor>
    <xdr:from>
      <xdr:col>12</xdr:col>
      <xdr:colOff>326289</xdr:colOff>
      <xdr:row>27</xdr:row>
      <xdr:rowOff>53789</xdr:rowOff>
    </xdr:from>
    <xdr:to>
      <xdr:col>12</xdr:col>
      <xdr:colOff>1125493</xdr:colOff>
      <xdr:row>27</xdr:row>
      <xdr:rowOff>554467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1AF1DC8F-DCC8-794B-A7A6-33396B5E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3833989" y="22824889"/>
          <a:ext cx="799204" cy="500678"/>
        </a:xfrm>
        <a:prstGeom prst="rect">
          <a:avLst/>
        </a:prstGeom>
      </xdr:spPr>
    </xdr:pic>
    <xdr:clientData/>
  </xdr:twoCellAnchor>
  <xdr:twoCellAnchor>
    <xdr:from>
      <xdr:col>12</xdr:col>
      <xdr:colOff>430112</xdr:colOff>
      <xdr:row>39</xdr:row>
      <xdr:rowOff>593742</xdr:rowOff>
    </xdr:from>
    <xdr:to>
      <xdr:col>12</xdr:col>
      <xdr:colOff>1017860</xdr:colOff>
      <xdr:row>41</xdr:row>
      <xdr:rowOff>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678E0B97-26E3-D24B-96EA-567FD26F2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ackgroundRemoval t="10000" b="90000" l="10000" r="90000">
                      <a14:backgroundMark x1="20909" y1="29299" x2="20909" y2="2929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937812" y="34032842"/>
          <a:ext cx="587748" cy="1184258"/>
        </a:xfrm>
        <a:prstGeom prst="rect">
          <a:avLst/>
        </a:prstGeom>
      </xdr:spPr>
    </xdr:pic>
    <xdr:clientData/>
  </xdr:twoCellAnchor>
  <xdr:twoCellAnchor>
    <xdr:from>
      <xdr:col>12</xdr:col>
      <xdr:colOff>447935</xdr:colOff>
      <xdr:row>8</xdr:row>
      <xdr:rowOff>73083</xdr:rowOff>
    </xdr:from>
    <xdr:to>
      <xdr:col>12</xdr:col>
      <xdr:colOff>1007658</xdr:colOff>
      <xdr:row>8</xdr:row>
      <xdr:rowOff>584819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70F42608-A0D5-7C42-BE20-1BEBBEFD6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3955635" y="5953183"/>
          <a:ext cx="559723" cy="511736"/>
        </a:xfrm>
        <a:prstGeom prst="rect">
          <a:avLst/>
        </a:prstGeom>
      </xdr:spPr>
    </xdr:pic>
    <xdr:clientData/>
  </xdr:twoCellAnchor>
  <xdr:twoCellAnchor>
    <xdr:from>
      <xdr:col>12</xdr:col>
      <xdr:colOff>396933</xdr:colOff>
      <xdr:row>12</xdr:row>
      <xdr:rowOff>55764</xdr:rowOff>
    </xdr:from>
    <xdr:to>
      <xdr:col>12</xdr:col>
      <xdr:colOff>1051040</xdr:colOff>
      <xdr:row>12</xdr:row>
      <xdr:rowOff>533053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2F02339D-1CE5-0449-A72A-721F58930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904633" y="9491864"/>
          <a:ext cx="654107" cy="477289"/>
        </a:xfrm>
        <a:prstGeom prst="rect">
          <a:avLst/>
        </a:prstGeom>
      </xdr:spPr>
    </xdr:pic>
    <xdr:clientData/>
  </xdr:twoCellAnchor>
  <xdr:twoCellAnchor>
    <xdr:from>
      <xdr:col>12</xdr:col>
      <xdr:colOff>371098</xdr:colOff>
      <xdr:row>9</xdr:row>
      <xdr:rowOff>94210</xdr:rowOff>
    </xdr:from>
    <xdr:to>
      <xdr:col>12</xdr:col>
      <xdr:colOff>1084495</xdr:colOff>
      <xdr:row>9</xdr:row>
      <xdr:rowOff>577214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FF1BDA84-FCCB-2A44-B915-1C7B967BB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3878798" y="6863310"/>
          <a:ext cx="713397" cy="483004"/>
        </a:xfrm>
        <a:prstGeom prst="rect">
          <a:avLst/>
        </a:prstGeom>
      </xdr:spPr>
    </xdr:pic>
    <xdr:clientData/>
  </xdr:twoCellAnchor>
  <xdr:twoCellAnchor>
    <xdr:from>
      <xdr:col>12</xdr:col>
      <xdr:colOff>453650</xdr:colOff>
      <xdr:row>4</xdr:row>
      <xdr:rowOff>38620</xdr:rowOff>
    </xdr:from>
    <xdr:to>
      <xdr:col>12</xdr:col>
      <xdr:colOff>1011468</xdr:colOff>
      <xdr:row>4</xdr:row>
      <xdr:rowOff>536783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55DFD038-6B12-564A-89D6-DF3957CFB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961350" y="2362720"/>
          <a:ext cx="557818" cy="498163"/>
        </a:xfrm>
        <a:prstGeom prst="rect">
          <a:avLst/>
        </a:prstGeom>
      </xdr:spPr>
    </xdr:pic>
    <xdr:clientData/>
  </xdr:twoCellAnchor>
  <xdr:twoCellAnchor>
    <xdr:from>
      <xdr:col>12</xdr:col>
      <xdr:colOff>444038</xdr:colOff>
      <xdr:row>7</xdr:row>
      <xdr:rowOff>94210</xdr:rowOff>
    </xdr:from>
    <xdr:to>
      <xdr:col>12</xdr:col>
      <xdr:colOff>1011555</xdr:colOff>
      <xdr:row>7</xdr:row>
      <xdr:rowOff>548465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19DB2E3-7649-CB42-8B85-35087F63F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3951738" y="5085310"/>
          <a:ext cx="567517" cy="454255"/>
        </a:xfrm>
        <a:prstGeom prst="rect">
          <a:avLst/>
        </a:prstGeom>
      </xdr:spPr>
    </xdr:pic>
    <xdr:clientData/>
  </xdr:twoCellAnchor>
  <xdr:twoCellAnchor>
    <xdr:from>
      <xdr:col>12</xdr:col>
      <xdr:colOff>402435</xdr:colOff>
      <xdr:row>6</xdr:row>
      <xdr:rowOff>47971</xdr:rowOff>
    </xdr:from>
    <xdr:to>
      <xdr:col>12</xdr:col>
      <xdr:colOff>1045538</xdr:colOff>
      <xdr:row>6</xdr:row>
      <xdr:rowOff>586925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E780C62-7997-7E42-927C-52D8D3291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910135" y="4150071"/>
          <a:ext cx="643103" cy="538954"/>
        </a:xfrm>
        <a:prstGeom prst="rect">
          <a:avLst/>
        </a:prstGeom>
      </xdr:spPr>
    </xdr:pic>
    <xdr:clientData/>
  </xdr:twoCellAnchor>
  <xdr:twoCellAnchor>
    <xdr:from>
      <xdr:col>12</xdr:col>
      <xdr:colOff>441007</xdr:colOff>
      <xdr:row>16</xdr:row>
      <xdr:rowOff>53686</xdr:rowOff>
    </xdr:from>
    <xdr:to>
      <xdr:col>12</xdr:col>
      <xdr:colOff>1006965</xdr:colOff>
      <xdr:row>16</xdr:row>
      <xdr:rowOff>555394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49479B19-D25A-BE47-9B79-9CB3221CF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3948707" y="13045786"/>
          <a:ext cx="565958" cy="501708"/>
        </a:xfrm>
        <a:prstGeom prst="rect">
          <a:avLst/>
        </a:prstGeom>
      </xdr:spPr>
    </xdr:pic>
    <xdr:clientData/>
  </xdr:twoCellAnchor>
  <xdr:twoCellAnchor>
    <xdr:from>
      <xdr:col>12</xdr:col>
      <xdr:colOff>451386</xdr:colOff>
      <xdr:row>11</xdr:row>
      <xdr:rowOff>96116</xdr:rowOff>
    </xdr:from>
    <xdr:to>
      <xdr:col>12</xdr:col>
      <xdr:colOff>1009922</xdr:colOff>
      <xdr:row>11</xdr:row>
      <xdr:rowOff>529244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6F41CB25-1848-5849-AF22-C3062281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959086" y="8643216"/>
          <a:ext cx="558536" cy="433128"/>
        </a:xfrm>
        <a:prstGeom prst="rect">
          <a:avLst/>
        </a:prstGeom>
      </xdr:spPr>
    </xdr:pic>
    <xdr:clientData/>
  </xdr:twoCellAnchor>
  <xdr:twoCellAnchor>
    <xdr:from>
      <xdr:col>12</xdr:col>
      <xdr:colOff>457460</xdr:colOff>
      <xdr:row>10</xdr:row>
      <xdr:rowOff>21128</xdr:rowOff>
    </xdr:from>
    <xdr:to>
      <xdr:col>12</xdr:col>
      <xdr:colOff>994323</xdr:colOff>
      <xdr:row>10</xdr:row>
      <xdr:rowOff>604165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33B7F45D-0A9A-B645-B685-9BAFA188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3965160" y="7679228"/>
          <a:ext cx="536863" cy="583037"/>
        </a:xfrm>
        <a:prstGeom prst="rect">
          <a:avLst/>
        </a:prstGeom>
      </xdr:spPr>
    </xdr:pic>
    <xdr:clientData/>
  </xdr:twoCellAnchor>
  <xdr:twoCellAnchor>
    <xdr:from>
      <xdr:col>12</xdr:col>
      <xdr:colOff>440141</xdr:colOff>
      <xdr:row>15</xdr:row>
      <xdr:rowOff>111528</xdr:rowOff>
    </xdr:from>
    <xdr:to>
      <xdr:col>12</xdr:col>
      <xdr:colOff>1007831</xdr:colOff>
      <xdr:row>15</xdr:row>
      <xdr:rowOff>514281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1AB13E0-99B8-5843-9F29-A278558E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947841" y="12214628"/>
          <a:ext cx="567690" cy="402753"/>
        </a:xfrm>
        <a:prstGeom prst="rect">
          <a:avLst/>
        </a:prstGeom>
      </xdr:spPr>
    </xdr:pic>
    <xdr:clientData/>
  </xdr:twoCellAnchor>
  <xdr:twoCellAnchor>
    <xdr:from>
      <xdr:col>12</xdr:col>
      <xdr:colOff>402648</xdr:colOff>
      <xdr:row>13</xdr:row>
      <xdr:rowOff>92306</xdr:rowOff>
    </xdr:from>
    <xdr:to>
      <xdr:col>12</xdr:col>
      <xdr:colOff>1045325</xdr:colOff>
      <xdr:row>13</xdr:row>
      <xdr:rowOff>535803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E99F6BC9-889F-0C45-A260-6119DE670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3910348" y="10417406"/>
          <a:ext cx="642677" cy="443497"/>
        </a:xfrm>
        <a:prstGeom prst="rect">
          <a:avLst/>
        </a:prstGeom>
      </xdr:spPr>
    </xdr:pic>
    <xdr:clientData/>
  </xdr:twoCellAnchor>
  <xdr:twoCellAnchor>
    <xdr:from>
      <xdr:col>12</xdr:col>
      <xdr:colOff>418061</xdr:colOff>
      <xdr:row>3</xdr:row>
      <xdr:rowOff>55765</xdr:rowOff>
    </xdr:from>
    <xdr:to>
      <xdr:col>12</xdr:col>
      <xdr:colOff>1045152</xdr:colOff>
      <xdr:row>3</xdr:row>
      <xdr:rowOff>576216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5EF45AFF-B0D0-614F-9900-56EC05939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925761" y="1490865"/>
          <a:ext cx="627091" cy="520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9551-9D18-A845-998A-CA0546115865}">
  <sheetPr>
    <pageSetUpPr fitToPage="1"/>
  </sheetPr>
  <dimension ref="A1:AD96"/>
  <sheetViews>
    <sheetView showGridLines="0" tabSelected="1" zoomScale="40" zoomScaleNormal="40" zoomScaleSheetLayoutView="40" workbookViewId="0">
      <pane xSplit="13" ySplit="3" topLeftCell="N4" activePane="bottomRight" state="frozen"/>
      <selection pane="topRight" activeCell="J1" sqref="J1"/>
      <selection pane="bottomLeft" activeCell="A4" sqref="A4"/>
      <selection pane="bottomRight" activeCell="V8" sqref="V8"/>
    </sheetView>
  </sheetViews>
  <sheetFormatPr baseColWidth="10" defaultColWidth="8.6640625" defaultRowHeight="30"/>
  <cols>
    <col min="1" max="1" width="12.1640625" style="13" customWidth="1"/>
    <col min="2" max="2" width="7.33203125" style="13" bestFit="1" customWidth="1"/>
    <col min="3" max="3" width="25.83203125" style="13" customWidth="1"/>
    <col min="4" max="4" width="39.33203125" style="13" customWidth="1"/>
    <col min="5" max="5" width="31.33203125" style="180" customWidth="1"/>
    <col min="6" max="6" width="96.6640625" style="181" customWidth="1"/>
    <col min="7" max="7" width="8.5" style="13" customWidth="1"/>
    <col min="8" max="8" width="12.6640625" style="13" customWidth="1"/>
    <col min="9" max="12" width="18.6640625" style="13" hidden="1" customWidth="1"/>
    <col min="13" max="13" width="16" style="182" hidden="1" customWidth="1"/>
    <col min="14" max="14" width="16.83203125" style="183" customWidth="1"/>
    <col min="15" max="15" width="20.6640625" style="183" customWidth="1"/>
    <col min="16" max="16" width="23.1640625" style="183" customWidth="1"/>
    <col min="17" max="17" width="22.83203125" style="184" customWidth="1"/>
    <col min="18" max="18" width="23.33203125" style="184" customWidth="1"/>
    <col min="19" max="19" width="22.6640625" style="184" customWidth="1"/>
    <col min="20" max="20" width="23.83203125" style="48" customWidth="1"/>
    <col min="21" max="21" width="23.83203125" style="48" hidden="1" customWidth="1"/>
    <col min="22" max="22" width="22.6640625" style="48" customWidth="1"/>
    <col min="23" max="23" width="23.83203125" style="48" customWidth="1"/>
    <col min="24" max="24" width="22.6640625" style="48" customWidth="1"/>
    <col min="25" max="25" width="25.33203125" style="48" customWidth="1"/>
    <col min="26" max="26" width="24.83203125" style="48" customWidth="1"/>
    <col min="27" max="27" width="40.1640625" style="48" customWidth="1"/>
    <col min="28" max="28" width="14.1640625" style="12" customWidth="1"/>
    <col min="29" max="16384" width="8.6640625" style="13"/>
  </cols>
  <sheetData>
    <row r="1" spans="1:29" ht="38" thickBot="1">
      <c r="A1" s="1">
        <f ca="1">TODAY()</f>
        <v>46306</v>
      </c>
      <c r="B1" s="1"/>
      <c r="C1" s="1"/>
      <c r="D1" s="2"/>
      <c r="E1" s="3"/>
      <c r="F1" s="4"/>
      <c r="G1" s="5"/>
      <c r="H1" s="5"/>
      <c r="I1" s="5"/>
      <c r="J1" s="5"/>
      <c r="K1" s="5"/>
      <c r="L1" s="5"/>
      <c r="M1" s="6"/>
      <c r="N1" s="7"/>
      <c r="O1" s="7"/>
      <c r="P1" s="7"/>
      <c r="Q1" s="8"/>
      <c r="R1" s="8"/>
      <c r="S1" s="9"/>
      <c r="T1" s="10"/>
      <c r="U1" s="10"/>
      <c r="V1" s="10"/>
      <c r="W1" s="10"/>
      <c r="X1" s="10"/>
      <c r="Y1" s="10"/>
      <c r="Z1" s="10"/>
      <c r="AA1" s="11" t="s">
        <v>0</v>
      </c>
    </row>
    <row r="2" spans="1:29" ht="38" thickTop="1">
      <c r="A2" s="14" t="s">
        <v>1</v>
      </c>
      <c r="B2" s="15" t="s">
        <v>2</v>
      </c>
      <c r="C2" s="16" t="s">
        <v>3</v>
      </c>
      <c r="D2" s="14" t="s">
        <v>4</v>
      </c>
      <c r="E2" s="17" t="s">
        <v>5</v>
      </c>
      <c r="F2" s="16" t="s">
        <v>6</v>
      </c>
      <c r="G2" s="16" t="s">
        <v>7</v>
      </c>
      <c r="H2" s="18" t="s">
        <v>8</v>
      </c>
      <c r="I2" s="19" t="s">
        <v>9</v>
      </c>
      <c r="J2" s="20"/>
      <c r="K2" s="20"/>
      <c r="L2" s="21"/>
      <c r="M2" s="22" t="s">
        <v>10</v>
      </c>
      <c r="N2" s="23" t="s">
        <v>11</v>
      </c>
      <c r="O2" s="24"/>
      <c r="P2" s="24"/>
      <c r="Q2" s="24"/>
      <c r="R2" s="24"/>
      <c r="S2" s="25"/>
      <c r="T2" s="26" t="s">
        <v>12</v>
      </c>
      <c r="U2" s="27"/>
      <c r="V2" s="28"/>
      <c r="W2" s="29"/>
      <c r="X2" s="30"/>
      <c r="Y2" s="31" t="s">
        <v>13</v>
      </c>
      <c r="Z2" s="32"/>
      <c r="AA2" s="33"/>
    </row>
    <row r="3" spans="1:29" s="48" customFormat="1" ht="37">
      <c r="A3" s="14"/>
      <c r="B3" s="34"/>
      <c r="C3" s="16"/>
      <c r="D3" s="14"/>
      <c r="E3" s="17"/>
      <c r="F3" s="16"/>
      <c r="G3" s="16"/>
      <c r="H3" s="35"/>
      <c r="I3" s="36" t="s">
        <v>14</v>
      </c>
      <c r="J3" s="36" t="s">
        <v>15</v>
      </c>
      <c r="K3" s="36" t="s">
        <v>16</v>
      </c>
      <c r="L3" s="36" t="s">
        <v>17</v>
      </c>
      <c r="M3" s="22"/>
      <c r="N3" s="37" t="s">
        <v>18</v>
      </c>
      <c r="O3" s="38" t="s">
        <v>19</v>
      </c>
      <c r="P3" s="38" t="s">
        <v>20</v>
      </c>
      <c r="Q3" s="39" t="s">
        <v>21</v>
      </c>
      <c r="R3" s="40" t="s">
        <v>22</v>
      </c>
      <c r="S3" s="40" t="s">
        <v>22</v>
      </c>
      <c r="T3" s="41" t="s">
        <v>23</v>
      </c>
      <c r="U3" s="39" t="s">
        <v>24</v>
      </c>
      <c r="V3" s="42" t="s">
        <v>25</v>
      </c>
      <c r="W3" s="40" t="s">
        <v>22</v>
      </c>
      <c r="X3" s="43" t="s">
        <v>22</v>
      </c>
      <c r="Y3" s="44" t="s">
        <v>26</v>
      </c>
      <c r="Z3" s="45" t="s">
        <v>27</v>
      </c>
      <c r="AA3" s="46" t="s">
        <v>28</v>
      </c>
      <c r="AB3" s="47"/>
    </row>
    <row r="4" spans="1:29" ht="70" customHeight="1">
      <c r="A4" s="49" t="s">
        <v>29</v>
      </c>
      <c r="B4" s="50">
        <f>ROW()-3</f>
        <v>1</v>
      </c>
      <c r="C4" s="51" t="s">
        <v>30</v>
      </c>
      <c r="D4" s="50" t="s">
        <v>31</v>
      </c>
      <c r="E4" s="52" t="s">
        <v>32</v>
      </c>
      <c r="F4" s="53" t="s">
        <v>33</v>
      </c>
      <c r="G4" s="51" t="s">
        <v>34</v>
      </c>
      <c r="H4" s="54">
        <v>1</v>
      </c>
      <c r="I4" s="55">
        <v>80</v>
      </c>
      <c r="J4" s="55" t="s">
        <v>35</v>
      </c>
      <c r="K4" s="55" t="s">
        <v>35</v>
      </c>
      <c r="L4" s="55" t="s">
        <v>35</v>
      </c>
      <c r="M4" s="56"/>
      <c r="N4" s="57"/>
      <c r="O4" s="58"/>
      <c r="P4" s="59"/>
      <c r="Q4" s="60">
        <f>N4+O4+P4</f>
        <v>0</v>
      </c>
      <c r="R4" s="61">
        <f>ROUNDDOWN(S4,0)</f>
        <v>0</v>
      </c>
      <c r="S4" s="62">
        <f t="shared" ref="S4:S55" si="0">Q4/H4</f>
        <v>0</v>
      </c>
      <c r="T4" s="63"/>
      <c r="U4" s="64"/>
      <c r="V4" s="65"/>
      <c r="W4" s="61">
        <f>ROUNDDOWN(X4,0)</f>
        <v>0</v>
      </c>
      <c r="X4" s="66">
        <f t="shared" ref="X4:X67" si="1">(T4+U4+V4)/H4</f>
        <v>0</v>
      </c>
      <c r="Y4" s="67">
        <f t="shared" ref="Y4:Y67" si="2">Q4+T4+V4+U4</f>
        <v>0</v>
      </c>
      <c r="Z4" s="68">
        <f>ROUNDDOWN(AA4,0)</f>
        <v>0</v>
      </c>
      <c r="AA4" s="69">
        <f t="shared" ref="AA4:AA67" si="3">ROUNDDOWN(S4+X4,0)</f>
        <v>0</v>
      </c>
    </row>
    <row r="5" spans="1:29" ht="70" customHeight="1">
      <c r="A5" s="49"/>
      <c r="B5" s="50">
        <f t="shared" ref="B5:B68" si="4">ROW()-3</f>
        <v>2</v>
      </c>
      <c r="C5" s="51" t="s">
        <v>36</v>
      </c>
      <c r="D5" s="50" t="s">
        <v>37</v>
      </c>
      <c r="E5" s="52" t="s">
        <v>38</v>
      </c>
      <c r="F5" s="53" t="s">
        <v>39</v>
      </c>
      <c r="G5" s="51" t="s">
        <v>34</v>
      </c>
      <c r="H5" s="54">
        <v>1</v>
      </c>
      <c r="I5" s="55">
        <v>280</v>
      </c>
      <c r="J5" s="55" t="s">
        <v>35</v>
      </c>
      <c r="K5" s="55" t="s">
        <v>35</v>
      </c>
      <c r="L5" s="55" t="s">
        <v>35</v>
      </c>
      <c r="M5" s="56"/>
      <c r="N5" s="57"/>
      <c r="O5" s="58"/>
      <c r="P5" s="59"/>
      <c r="Q5" s="60">
        <f t="shared" ref="Q5:Q68" si="5">N5+O5+P5</f>
        <v>0</v>
      </c>
      <c r="R5" s="61">
        <f t="shared" ref="R5:R55" si="6">ROUNDDOWN(S5,0)</f>
        <v>0</v>
      </c>
      <c r="S5" s="62">
        <f t="shared" si="0"/>
        <v>0</v>
      </c>
      <c r="T5" s="63"/>
      <c r="U5" s="64"/>
      <c r="V5" s="65"/>
      <c r="W5" s="61">
        <f t="shared" ref="W5:W50" si="7">ROUNDDOWN(X5,0)</f>
        <v>0</v>
      </c>
      <c r="X5" s="66">
        <f t="shared" si="1"/>
        <v>0</v>
      </c>
      <c r="Y5" s="67">
        <f t="shared" si="2"/>
        <v>0</v>
      </c>
      <c r="Z5" s="68">
        <f t="shared" ref="Z5:Z68" si="8">ROUNDDOWN(AA5,0)</f>
        <v>0</v>
      </c>
      <c r="AA5" s="69">
        <f t="shared" si="3"/>
        <v>0</v>
      </c>
    </row>
    <row r="6" spans="1:29" ht="70" customHeight="1">
      <c r="A6" s="49"/>
      <c r="B6" s="50">
        <f t="shared" si="4"/>
        <v>3</v>
      </c>
      <c r="C6" s="51" t="s">
        <v>36</v>
      </c>
      <c r="D6" s="50" t="s">
        <v>40</v>
      </c>
      <c r="E6" s="52" t="s">
        <v>41</v>
      </c>
      <c r="F6" s="53" t="s">
        <v>42</v>
      </c>
      <c r="G6" s="51" t="s">
        <v>34</v>
      </c>
      <c r="H6" s="54">
        <v>1</v>
      </c>
      <c r="I6" s="55">
        <v>3000</v>
      </c>
      <c r="J6" s="55" t="s">
        <v>35</v>
      </c>
      <c r="K6" s="55" t="s">
        <v>35</v>
      </c>
      <c r="L6" s="55" t="s">
        <v>35</v>
      </c>
      <c r="M6" s="56"/>
      <c r="N6" s="57"/>
      <c r="O6" s="60"/>
      <c r="P6" s="60"/>
      <c r="Q6" s="60">
        <f t="shared" si="5"/>
        <v>0</v>
      </c>
      <c r="R6" s="61">
        <f t="shared" si="6"/>
        <v>0</v>
      </c>
      <c r="S6" s="62">
        <f t="shared" si="0"/>
        <v>0</v>
      </c>
      <c r="T6" s="63"/>
      <c r="U6" s="64"/>
      <c r="V6" s="65"/>
      <c r="W6" s="61">
        <f t="shared" si="7"/>
        <v>0</v>
      </c>
      <c r="X6" s="66">
        <f t="shared" si="1"/>
        <v>0</v>
      </c>
      <c r="Y6" s="67">
        <f t="shared" si="2"/>
        <v>0</v>
      </c>
      <c r="Z6" s="68">
        <f t="shared" si="8"/>
        <v>0</v>
      </c>
      <c r="AA6" s="69">
        <f t="shared" si="3"/>
        <v>0</v>
      </c>
    </row>
    <row r="7" spans="1:29" ht="70" customHeight="1">
      <c r="A7" s="49"/>
      <c r="B7" s="50">
        <f t="shared" si="4"/>
        <v>4</v>
      </c>
      <c r="C7" s="51" t="s">
        <v>43</v>
      </c>
      <c r="D7" s="50" t="s">
        <v>44</v>
      </c>
      <c r="E7" s="52" t="s">
        <v>45</v>
      </c>
      <c r="F7" s="53" t="s">
        <v>46</v>
      </c>
      <c r="G7" s="51" t="s">
        <v>34</v>
      </c>
      <c r="H7" s="54">
        <v>1</v>
      </c>
      <c r="I7" s="55">
        <v>2</v>
      </c>
      <c r="J7" s="55">
        <v>50</v>
      </c>
      <c r="K7" s="55">
        <v>25</v>
      </c>
      <c r="L7" s="70" t="s">
        <v>47</v>
      </c>
      <c r="M7" s="56"/>
      <c r="N7" s="57"/>
      <c r="O7" s="58"/>
      <c r="P7" s="59"/>
      <c r="Q7" s="60">
        <f t="shared" si="5"/>
        <v>0</v>
      </c>
      <c r="R7" s="61">
        <f t="shared" si="6"/>
        <v>0</v>
      </c>
      <c r="S7" s="62">
        <f t="shared" si="0"/>
        <v>0</v>
      </c>
      <c r="T7" s="63"/>
      <c r="U7" s="64"/>
      <c r="V7" s="65"/>
      <c r="W7" s="61">
        <f>ROUNDDOWN(X7,0)</f>
        <v>0</v>
      </c>
      <c r="X7" s="66">
        <f t="shared" si="1"/>
        <v>0</v>
      </c>
      <c r="Y7" s="67">
        <f t="shared" si="2"/>
        <v>0</v>
      </c>
      <c r="Z7" s="68">
        <f>ROUNDDOWN(AA7,0)</f>
        <v>0</v>
      </c>
      <c r="AA7" s="69">
        <f t="shared" si="3"/>
        <v>0</v>
      </c>
    </row>
    <row r="8" spans="1:29" ht="70" customHeight="1">
      <c r="A8" s="49"/>
      <c r="B8" s="50">
        <f t="shared" si="4"/>
        <v>5</v>
      </c>
      <c r="C8" s="51" t="s">
        <v>43</v>
      </c>
      <c r="D8" s="50" t="s">
        <v>44</v>
      </c>
      <c r="E8" s="52" t="s">
        <v>48</v>
      </c>
      <c r="F8" s="53" t="s">
        <v>49</v>
      </c>
      <c r="G8" s="51" t="s">
        <v>34</v>
      </c>
      <c r="H8" s="54">
        <v>1</v>
      </c>
      <c r="I8" s="55">
        <v>2</v>
      </c>
      <c r="J8" s="55">
        <v>50</v>
      </c>
      <c r="K8" s="55">
        <v>25</v>
      </c>
      <c r="L8" s="70" t="s">
        <v>47</v>
      </c>
      <c r="M8" s="56"/>
      <c r="N8" s="57"/>
      <c r="O8" s="58"/>
      <c r="P8" s="59"/>
      <c r="Q8" s="60">
        <f t="shared" si="5"/>
        <v>0</v>
      </c>
      <c r="R8" s="61">
        <f t="shared" si="6"/>
        <v>0</v>
      </c>
      <c r="S8" s="62">
        <f t="shared" si="0"/>
        <v>0</v>
      </c>
      <c r="T8" s="63"/>
      <c r="U8" s="64"/>
      <c r="V8" s="65"/>
      <c r="W8" s="61">
        <f>ROUNDDOWN(X8,0)</f>
        <v>0</v>
      </c>
      <c r="X8" s="66">
        <f t="shared" si="1"/>
        <v>0</v>
      </c>
      <c r="Y8" s="67">
        <f t="shared" si="2"/>
        <v>0</v>
      </c>
      <c r="Z8" s="68">
        <f>ROUNDDOWN(AA8,0)</f>
        <v>0</v>
      </c>
      <c r="AA8" s="69">
        <f t="shared" si="3"/>
        <v>0</v>
      </c>
    </row>
    <row r="9" spans="1:29" ht="70" customHeight="1">
      <c r="A9" s="49"/>
      <c r="B9" s="50">
        <f t="shared" si="4"/>
        <v>6</v>
      </c>
      <c r="C9" s="51" t="s">
        <v>50</v>
      </c>
      <c r="D9" s="50" t="s">
        <v>51</v>
      </c>
      <c r="E9" s="52" t="s">
        <v>52</v>
      </c>
      <c r="F9" s="53" t="s">
        <v>53</v>
      </c>
      <c r="G9" s="51" t="s">
        <v>34</v>
      </c>
      <c r="H9" s="54">
        <v>2</v>
      </c>
      <c r="I9" s="55">
        <v>90</v>
      </c>
      <c r="J9" s="55" t="s">
        <v>35</v>
      </c>
      <c r="K9" s="55" t="s">
        <v>35</v>
      </c>
      <c r="L9" s="55" t="s">
        <v>35</v>
      </c>
      <c r="M9" s="56"/>
      <c r="N9" s="71"/>
      <c r="O9" s="72"/>
      <c r="P9" s="59"/>
      <c r="Q9" s="60">
        <f t="shared" si="5"/>
        <v>0</v>
      </c>
      <c r="R9" s="61">
        <f>ROUNDDOWN(S9,0)</f>
        <v>0</v>
      </c>
      <c r="S9" s="62">
        <f t="shared" si="0"/>
        <v>0</v>
      </c>
      <c r="T9" s="63"/>
      <c r="U9" s="64"/>
      <c r="V9" s="65"/>
      <c r="W9" s="61">
        <f t="shared" si="7"/>
        <v>0</v>
      </c>
      <c r="X9" s="66">
        <f t="shared" si="1"/>
        <v>0</v>
      </c>
      <c r="Y9" s="67">
        <f t="shared" si="2"/>
        <v>0</v>
      </c>
      <c r="Z9" s="68">
        <f t="shared" si="8"/>
        <v>0</v>
      </c>
      <c r="AA9" s="69">
        <f t="shared" si="3"/>
        <v>0</v>
      </c>
    </row>
    <row r="10" spans="1:29" ht="70" customHeight="1">
      <c r="A10" s="49"/>
      <c r="B10" s="50">
        <f t="shared" si="4"/>
        <v>7</v>
      </c>
      <c r="C10" s="51" t="s">
        <v>54</v>
      </c>
      <c r="D10" s="50" t="s">
        <v>55</v>
      </c>
      <c r="E10" s="52" t="s">
        <v>56</v>
      </c>
      <c r="F10" s="53" t="s">
        <v>57</v>
      </c>
      <c r="G10" s="51" t="s">
        <v>34</v>
      </c>
      <c r="H10" s="54">
        <v>3</v>
      </c>
      <c r="I10" s="55">
        <v>32</v>
      </c>
      <c r="J10" s="55" t="s">
        <v>35</v>
      </c>
      <c r="K10" s="55" t="s">
        <v>35</v>
      </c>
      <c r="L10" s="55" t="s">
        <v>35</v>
      </c>
      <c r="M10" s="56"/>
      <c r="N10" s="57"/>
      <c r="O10" s="58"/>
      <c r="P10" s="59"/>
      <c r="Q10" s="60">
        <f t="shared" si="5"/>
        <v>0</v>
      </c>
      <c r="R10" s="61">
        <f t="shared" si="6"/>
        <v>0</v>
      </c>
      <c r="S10" s="62">
        <f t="shared" si="0"/>
        <v>0</v>
      </c>
      <c r="T10" s="63"/>
      <c r="U10" s="64"/>
      <c r="V10" s="65"/>
      <c r="W10" s="61">
        <f t="shared" si="7"/>
        <v>0</v>
      </c>
      <c r="X10" s="66">
        <f t="shared" si="1"/>
        <v>0</v>
      </c>
      <c r="Y10" s="67">
        <f t="shared" si="2"/>
        <v>0</v>
      </c>
      <c r="Z10" s="68">
        <f t="shared" si="8"/>
        <v>0</v>
      </c>
      <c r="AA10" s="69">
        <f t="shared" si="3"/>
        <v>0</v>
      </c>
    </row>
    <row r="11" spans="1:29" ht="70" customHeight="1">
      <c r="A11" s="49"/>
      <c r="B11" s="50">
        <f t="shared" si="4"/>
        <v>8</v>
      </c>
      <c r="C11" s="51" t="s">
        <v>58</v>
      </c>
      <c r="D11" s="50" t="s">
        <v>59</v>
      </c>
      <c r="E11" s="52">
        <v>40100005</v>
      </c>
      <c r="F11" s="53" t="s">
        <v>60</v>
      </c>
      <c r="G11" s="51" t="s">
        <v>34</v>
      </c>
      <c r="H11" s="73">
        <v>2</v>
      </c>
      <c r="I11" s="74">
        <v>10</v>
      </c>
      <c r="J11" s="55" t="s">
        <v>35</v>
      </c>
      <c r="K11" s="55" t="s">
        <v>35</v>
      </c>
      <c r="L11" s="55" t="s">
        <v>35</v>
      </c>
      <c r="M11" s="56"/>
      <c r="N11" s="57"/>
      <c r="O11" s="58"/>
      <c r="P11" s="75"/>
      <c r="Q11" s="60">
        <f>N11+O11+P11</f>
        <v>0</v>
      </c>
      <c r="R11" s="61">
        <f>ROUNDDOWN(S11,0)</f>
        <v>0</v>
      </c>
      <c r="S11" s="62">
        <f t="shared" si="0"/>
        <v>0</v>
      </c>
      <c r="T11" s="63"/>
      <c r="U11" s="64"/>
      <c r="V11" s="65"/>
      <c r="W11" s="61">
        <f t="shared" si="7"/>
        <v>0</v>
      </c>
      <c r="X11" s="66">
        <f t="shared" si="1"/>
        <v>0</v>
      </c>
      <c r="Y11" s="67">
        <f t="shared" si="2"/>
        <v>0</v>
      </c>
      <c r="Z11" s="68">
        <f t="shared" si="8"/>
        <v>0</v>
      </c>
      <c r="AA11" s="69">
        <f t="shared" si="3"/>
        <v>0</v>
      </c>
      <c r="AB11" s="76"/>
    </row>
    <row r="12" spans="1:29" ht="70" customHeight="1">
      <c r="A12" s="49"/>
      <c r="B12" s="50">
        <f t="shared" si="4"/>
        <v>9</v>
      </c>
      <c r="C12" s="51" t="s">
        <v>58</v>
      </c>
      <c r="D12" s="50" t="s">
        <v>59</v>
      </c>
      <c r="E12" s="52">
        <v>14540024</v>
      </c>
      <c r="F12" s="53" t="s">
        <v>61</v>
      </c>
      <c r="G12" s="51" t="s">
        <v>34</v>
      </c>
      <c r="H12" s="73">
        <v>3</v>
      </c>
      <c r="I12" s="74">
        <v>10</v>
      </c>
      <c r="J12" s="55" t="s">
        <v>35</v>
      </c>
      <c r="K12" s="55" t="s">
        <v>35</v>
      </c>
      <c r="L12" s="55" t="s">
        <v>35</v>
      </c>
      <c r="M12" s="56"/>
      <c r="N12" s="57"/>
      <c r="O12" s="58"/>
      <c r="P12" s="75"/>
      <c r="Q12" s="60">
        <f t="shared" si="5"/>
        <v>0</v>
      </c>
      <c r="R12" s="61">
        <f t="shared" si="6"/>
        <v>0</v>
      </c>
      <c r="S12" s="62">
        <f t="shared" si="0"/>
        <v>0</v>
      </c>
      <c r="T12" s="63"/>
      <c r="U12" s="64"/>
      <c r="V12" s="65"/>
      <c r="W12" s="61">
        <f t="shared" si="7"/>
        <v>0</v>
      </c>
      <c r="X12" s="66">
        <f t="shared" si="1"/>
        <v>0</v>
      </c>
      <c r="Y12" s="67">
        <f t="shared" si="2"/>
        <v>0</v>
      </c>
      <c r="Z12" s="68">
        <f t="shared" si="8"/>
        <v>0</v>
      </c>
      <c r="AA12" s="69">
        <f t="shared" si="3"/>
        <v>0</v>
      </c>
      <c r="AB12" s="77"/>
    </row>
    <row r="13" spans="1:29" ht="70" customHeight="1">
      <c r="A13" s="49"/>
      <c r="B13" s="50">
        <f t="shared" si="4"/>
        <v>10</v>
      </c>
      <c r="C13" s="51" t="s">
        <v>30</v>
      </c>
      <c r="D13" s="50" t="s">
        <v>62</v>
      </c>
      <c r="E13" s="52" t="s">
        <v>63</v>
      </c>
      <c r="F13" s="53" t="s">
        <v>64</v>
      </c>
      <c r="G13" s="51" t="s">
        <v>34</v>
      </c>
      <c r="H13" s="73">
        <v>1</v>
      </c>
      <c r="I13" s="74">
        <v>45</v>
      </c>
      <c r="J13" s="55" t="s">
        <v>35</v>
      </c>
      <c r="K13" s="55" t="s">
        <v>35</v>
      </c>
      <c r="L13" s="55" t="s">
        <v>35</v>
      </c>
      <c r="M13" s="56"/>
      <c r="N13" s="57"/>
      <c r="O13" s="58"/>
      <c r="P13" s="75"/>
      <c r="Q13" s="60">
        <f t="shared" ref="Q13:Q76" si="9">N13+O13+P13</f>
        <v>0</v>
      </c>
      <c r="R13" s="61">
        <f t="shared" si="6"/>
        <v>0</v>
      </c>
      <c r="S13" s="62">
        <f t="shared" si="0"/>
        <v>0</v>
      </c>
      <c r="T13" s="63"/>
      <c r="U13" s="64"/>
      <c r="V13" s="65"/>
      <c r="W13" s="61">
        <f t="shared" si="7"/>
        <v>0</v>
      </c>
      <c r="X13" s="66">
        <f t="shared" si="1"/>
        <v>0</v>
      </c>
      <c r="Y13" s="67">
        <f t="shared" si="2"/>
        <v>0</v>
      </c>
      <c r="Z13" s="68">
        <f t="shared" si="8"/>
        <v>0</v>
      </c>
      <c r="AA13" s="69">
        <f t="shared" si="3"/>
        <v>0</v>
      </c>
    </row>
    <row r="14" spans="1:29" ht="70" customHeight="1">
      <c r="A14" s="49"/>
      <c r="B14" s="50">
        <f t="shared" si="4"/>
        <v>11</v>
      </c>
      <c r="C14" s="51" t="s">
        <v>65</v>
      </c>
      <c r="D14" s="50" t="s">
        <v>66</v>
      </c>
      <c r="E14" s="52" t="s">
        <v>67</v>
      </c>
      <c r="F14" s="53" t="s">
        <v>68</v>
      </c>
      <c r="G14" s="51" t="s">
        <v>34</v>
      </c>
      <c r="H14" s="73">
        <v>2</v>
      </c>
      <c r="I14" s="74">
        <v>10</v>
      </c>
      <c r="J14" s="74">
        <v>200</v>
      </c>
      <c r="K14" s="74">
        <v>20</v>
      </c>
      <c r="L14" s="70" t="s">
        <v>47</v>
      </c>
      <c r="M14" s="56"/>
      <c r="N14" s="57"/>
      <c r="O14" s="58"/>
      <c r="P14" s="75"/>
      <c r="Q14" s="60">
        <f t="shared" si="9"/>
        <v>0</v>
      </c>
      <c r="R14" s="61">
        <f t="shared" si="6"/>
        <v>0</v>
      </c>
      <c r="S14" s="62">
        <f t="shared" si="0"/>
        <v>0</v>
      </c>
      <c r="T14" s="63"/>
      <c r="U14" s="64"/>
      <c r="V14" s="65"/>
      <c r="W14" s="61">
        <f t="shared" si="7"/>
        <v>0</v>
      </c>
      <c r="X14" s="66">
        <f t="shared" si="1"/>
        <v>0</v>
      </c>
      <c r="Y14" s="67">
        <f t="shared" si="2"/>
        <v>0</v>
      </c>
      <c r="Z14" s="68">
        <f t="shared" si="8"/>
        <v>0</v>
      </c>
      <c r="AA14" s="69">
        <f t="shared" si="3"/>
        <v>0</v>
      </c>
    </row>
    <row r="15" spans="1:29" ht="70" customHeight="1">
      <c r="A15" s="49"/>
      <c r="B15" s="50">
        <f t="shared" si="4"/>
        <v>12</v>
      </c>
      <c r="C15" s="51" t="s">
        <v>69</v>
      </c>
      <c r="D15" s="50" t="s">
        <v>70</v>
      </c>
      <c r="E15" s="52">
        <v>64276915001</v>
      </c>
      <c r="F15" s="53" t="s">
        <v>71</v>
      </c>
      <c r="G15" s="51" t="s">
        <v>34</v>
      </c>
      <c r="H15" s="73">
        <v>1</v>
      </c>
      <c r="I15" s="74">
        <v>2</v>
      </c>
      <c r="J15" s="74" t="s">
        <v>72</v>
      </c>
      <c r="K15" s="74" t="s">
        <v>72</v>
      </c>
      <c r="L15" s="70" t="s">
        <v>47</v>
      </c>
      <c r="M15" s="56"/>
      <c r="N15" s="57"/>
      <c r="O15" s="72"/>
      <c r="P15" s="72"/>
      <c r="Q15" s="60">
        <f t="shared" si="9"/>
        <v>0</v>
      </c>
      <c r="R15" s="61">
        <f t="shared" si="6"/>
        <v>0</v>
      </c>
      <c r="S15" s="62">
        <f t="shared" si="0"/>
        <v>0</v>
      </c>
      <c r="T15" s="63"/>
      <c r="U15" s="64"/>
      <c r="V15" s="65"/>
      <c r="W15" s="61">
        <f t="shared" si="7"/>
        <v>0</v>
      </c>
      <c r="X15" s="66">
        <f t="shared" si="1"/>
        <v>0</v>
      </c>
      <c r="Y15" s="67">
        <f t="shared" si="2"/>
        <v>0</v>
      </c>
      <c r="Z15" s="68">
        <f t="shared" si="8"/>
        <v>0</v>
      </c>
      <c r="AA15" s="69">
        <f t="shared" si="3"/>
        <v>0</v>
      </c>
    </row>
    <row r="16" spans="1:29" ht="70" customHeight="1">
      <c r="A16" s="49"/>
      <c r="B16" s="50">
        <f t="shared" si="4"/>
        <v>13</v>
      </c>
      <c r="C16" s="51"/>
      <c r="D16" s="50" t="s">
        <v>73</v>
      </c>
      <c r="E16" s="52" t="s">
        <v>74</v>
      </c>
      <c r="F16" s="53" t="s">
        <v>75</v>
      </c>
      <c r="G16" s="51" t="s">
        <v>34</v>
      </c>
      <c r="H16" s="73">
        <v>1</v>
      </c>
      <c r="I16" s="74">
        <v>2</v>
      </c>
      <c r="J16" s="74">
        <v>60</v>
      </c>
      <c r="K16" s="74">
        <v>30</v>
      </c>
      <c r="L16" s="70" t="s">
        <v>47</v>
      </c>
      <c r="M16" s="56"/>
      <c r="N16" s="57"/>
      <c r="O16" s="58"/>
      <c r="P16" s="75"/>
      <c r="Q16" s="60">
        <f t="shared" si="9"/>
        <v>0</v>
      </c>
      <c r="R16" s="61">
        <f t="shared" si="6"/>
        <v>0</v>
      </c>
      <c r="S16" s="62">
        <f t="shared" si="0"/>
        <v>0</v>
      </c>
      <c r="T16" s="63"/>
      <c r="U16" s="64"/>
      <c r="V16" s="65"/>
      <c r="W16" s="61">
        <f t="shared" si="7"/>
        <v>0</v>
      </c>
      <c r="X16" s="66">
        <f t="shared" si="1"/>
        <v>0</v>
      </c>
      <c r="Y16" s="67">
        <f t="shared" si="2"/>
        <v>0</v>
      </c>
      <c r="Z16" s="68">
        <f t="shared" si="8"/>
        <v>0</v>
      </c>
      <c r="AA16" s="69">
        <f t="shared" si="3"/>
        <v>0</v>
      </c>
      <c r="AB16" s="78"/>
      <c r="AC16" s="79"/>
    </row>
    <row r="17" spans="1:29" ht="70" customHeight="1" thickBot="1">
      <c r="A17" s="80"/>
      <c r="B17" s="81">
        <f t="shared" si="4"/>
        <v>14</v>
      </c>
      <c r="C17" s="82" t="s">
        <v>76</v>
      </c>
      <c r="D17" s="81" t="s">
        <v>77</v>
      </c>
      <c r="E17" s="83">
        <v>10120007610</v>
      </c>
      <c r="F17" s="84" t="s">
        <v>78</v>
      </c>
      <c r="G17" s="82" t="s">
        <v>34</v>
      </c>
      <c r="H17" s="85">
        <v>1</v>
      </c>
      <c r="I17" s="86">
        <v>40</v>
      </c>
      <c r="J17" s="86" t="s">
        <v>79</v>
      </c>
      <c r="K17" s="86" t="s">
        <v>79</v>
      </c>
      <c r="L17" s="86" t="s">
        <v>79</v>
      </c>
      <c r="M17" s="87"/>
      <c r="N17" s="88"/>
      <c r="O17" s="89"/>
      <c r="P17" s="90"/>
      <c r="Q17" s="91">
        <f t="shared" si="9"/>
        <v>0</v>
      </c>
      <c r="R17" s="92">
        <f t="shared" si="6"/>
        <v>0</v>
      </c>
      <c r="S17" s="93">
        <f t="shared" si="0"/>
        <v>0</v>
      </c>
      <c r="T17" s="94"/>
      <c r="U17" s="95"/>
      <c r="V17" s="96"/>
      <c r="W17" s="92">
        <f t="shared" si="7"/>
        <v>0</v>
      </c>
      <c r="X17" s="97">
        <f t="shared" si="1"/>
        <v>0</v>
      </c>
      <c r="Y17" s="98">
        <f t="shared" si="2"/>
        <v>0</v>
      </c>
      <c r="Z17" s="99">
        <f>ROUNDDOWN(AA17,0)</f>
        <v>0</v>
      </c>
      <c r="AA17" s="100">
        <f t="shared" si="3"/>
        <v>0</v>
      </c>
      <c r="AB17" s="78"/>
      <c r="AC17" s="79"/>
    </row>
    <row r="18" spans="1:29" ht="70" customHeight="1" thickTop="1">
      <c r="A18" s="101" t="s">
        <v>80</v>
      </c>
      <c r="B18" s="102">
        <f t="shared" si="4"/>
        <v>15</v>
      </c>
      <c r="C18" s="103" t="s">
        <v>36</v>
      </c>
      <c r="D18" s="102" t="s">
        <v>81</v>
      </c>
      <c r="E18" s="104">
        <v>67916915004</v>
      </c>
      <c r="F18" s="105" t="s">
        <v>82</v>
      </c>
      <c r="G18" s="106" t="s">
        <v>34</v>
      </c>
      <c r="H18" s="107">
        <v>2</v>
      </c>
      <c r="I18" s="108" t="s">
        <v>79</v>
      </c>
      <c r="J18" s="108" t="s">
        <v>79</v>
      </c>
      <c r="K18" s="108" t="s">
        <v>79</v>
      </c>
      <c r="L18" s="108" t="s">
        <v>79</v>
      </c>
      <c r="M18" s="109"/>
      <c r="N18" s="110"/>
      <c r="O18" s="72"/>
      <c r="P18" s="72"/>
      <c r="Q18" s="111">
        <f t="shared" si="9"/>
        <v>0</v>
      </c>
      <c r="R18" s="112">
        <f t="shared" si="6"/>
        <v>0</v>
      </c>
      <c r="S18" s="113">
        <f t="shared" si="0"/>
        <v>0</v>
      </c>
      <c r="T18" s="114"/>
      <c r="U18" s="115"/>
      <c r="V18" s="116"/>
      <c r="W18" s="112">
        <f t="shared" si="7"/>
        <v>0</v>
      </c>
      <c r="X18" s="117">
        <f t="shared" si="1"/>
        <v>0</v>
      </c>
      <c r="Y18" s="118">
        <f t="shared" si="2"/>
        <v>0</v>
      </c>
      <c r="Z18" s="68">
        <f t="shared" si="8"/>
        <v>0</v>
      </c>
      <c r="AA18" s="119">
        <f t="shared" si="3"/>
        <v>0</v>
      </c>
      <c r="AB18" s="78"/>
      <c r="AC18" s="79"/>
    </row>
    <row r="19" spans="1:29" ht="70" customHeight="1">
      <c r="A19" s="120"/>
      <c r="B19" s="50">
        <f t="shared" si="4"/>
        <v>16</v>
      </c>
      <c r="C19" s="121" t="s">
        <v>83</v>
      </c>
      <c r="D19" s="50" t="s">
        <v>84</v>
      </c>
      <c r="E19" s="122" t="s">
        <v>85</v>
      </c>
      <c r="F19" s="123" t="s">
        <v>86</v>
      </c>
      <c r="G19" s="51" t="s">
        <v>34</v>
      </c>
      <c r="H19" s="124">
        <v>1</v>
      </c>
      <c r="I19" s="125">
        <v>10</v>
      </c>
      <c r="J19" s="125" t="s">
        <v>79</v>
      </c>
      <c r="K19" s="125" t="s">
        <v>79</v>
      </c>
      <c r="L19" s="125" t="s">
        <v>79</v>
      </c>
      <c r="M19" s="56"/>
      <c r="N19" s="110"/>
      <c r="O19" s="126"/>
      <c r="P19" s="72"/>
      <c r="Q19" s="60">
        <f t="shared" si="9"/>
        <v>0</v>
      </c>
      <c r="R19" s="61">
        <f t="shared" si="6"/>
        <v>0</v>
      </c>
      <c r="S19" s="62">
        <f t="shared" si="0"/>
        <v>0</v>
      </c>
      <c r="T19" s="63"/>
      <c r="U19" s="64"/>
      <c r="V19" s="65"/>
      <c r="W19" s="61">
        <f t="shared" si="7"/>
        <v>0</v>
      </c>
      <c r="X19" s="66">
        <f t="shared" si="1"/>
        <v>0</v>
      </c>
      <c r="Y19" s="67">
        <f t="shared" si="2"/>
        <v>0</v>
      </c>
      <c r="Z19" s="68">
        <f t="shared" si="8"/>
        <v>0</v>
      </c>
      <c r="AA19" s="69">
        <f t="shared" si="3"/>
        <v>0</v>
      </c>
      <c r="AB19" s="78"/>
      <c r="AC19" s="79"/>
    </row>
    <row r="20" spans="1:29" ht="70" customHeight="1">
      <c r="A20" s="120"/>
      <c r="B20" s="50">
        <f t="shared" si="4"/>
        <v>17</v>
      </c>
      <c r="C20" s="121" t="s">
        <v>87</v>
      </c>
      <c r="D20" s="50" t="s">
        <v>88</v>
      </c>
      <c r="E20" s="122">
        <v>50516915030</v>
      </c>
      <c r="F20" s="123" t="s">
        <v>89</v>
      </c>
      <c r="G20" s="51" t="s">
        <v>34</v>
      </c>
      <c r="H20" s="124">
        <v>1</v>
      </c>
      <c r="I20" s="125" t="s">
        <v>79</v>
      </c>
      <c r="J20" s="125" t="s">
        <v>79</v>
      </c>
      <c r="K20" s="125" t="s">
        <v>79</v>
      </c>
      <c r="L20" s="125" t="s">
        <v>79</v>
      </c>
      <c r="M20" s="56"/>
      <c r="N20" s="110"/>
      <c r="O20" s="126"/>
      <c r="P20" s="72"/>
      <c r="Q20" s="60">
        <f t="shared" si="9"/>
        <v>0</v>
      </c>
      <c r="R20" s="61">
        <f t="shared" si="6"/>
        <v>0</v>
      </c>
      <c r="S20" s="62">
        <f t="shared" si="0"/>
        <v>0</v>
      </c>
      <c r="T20" s="63"/>
      <c r="U20" s="64"/>
      <c r="V20" s="65"/>
      <c r="W20" s="61">
        <f t="shared" si="7"/>
        <v>0</v>
      </c>
      <c r="X20" s="66">
        <f t="shared" si="1"/>
        <v>0</v>
      </c>
      <c r="Y20" s="67">
        <f t="shared" si="2"/>
        <v>0</v>
      </c>
      <c r="Z20" s="68">
        <f t="shared" si="8"/>
        <v>0</v>
      </c>
      <c r="AA20" s="69">
        <f t="shared" si="3"/>
        <v>0</v>
      </c>
    </row>
    <row r="21" spans="1:29" ht="70" customHeight="1">
      <c r="A21" s="120"/>
      <c r="B21" s="50">
        <f t="shared" si="4"/>
        <v>18</v>
      </c>
      <c r="C21" s="121" t="s">
        <v>87</v>
      </c>
      <c r="D21" s="50" t="s">
        <v>88</v>
      </c>
      <c r="E21" s="122">
        <v>50516915031</v>
      </c>
      <c r="F21" s="123" t="s">
        <v>90</v>
      </c>
      <c r="G21" s="51" t="s">
        <v>34</v>
      </c>
      <c r="H21" s="124">
        <v>1</v>
      </c>
      <c r="I21" s="125" t="s">
        <v>79</v>
      </c>
      <c r="J21" s="125" t="s">
        <v>79</v>
      </c>
      <c r="K21" s="125" t="s">
        <v>79</v>
      </c>
      <c r="L21" s="125" t="s">
        <v>79</v>
      </c>
      <c r="M21" s="56"/>
      <c r="N21" s="110"/>
      <c r="O21" s="72"/>
      <c r="P21" s="72"/>
      <c r="Q21" s="60">
        <f t="shared" si="9"/>
        <v>0</v>
      </c>
      <c r="R21" s="61">
        <f t="shared" si="6"/>
        <v>0</v>
      </c>
      <c r="S21" s="62">
        <f t="shared" si="0"/>
        <v>0</v>
      </c>
      <c r="T21" s="63"/>
      <c r="U21" s="64"/>
      <c r="V21" s="65"/>
      <c r="W21" s="61">
        <f t="shared" si="7"/>
        <v>0</v>
      </c>
      <c r="X21" s="66">
        <f t="shared" si="1"/>
        <v>0</v>
      </c>
      <c r="Y21" s="67">
        <f t="shared" si="2"/>
        <v>0</v>
      </c>
      <c r="Z21" s="68">
        <f t="shared" si="8"/>
        <v>0</v>
      </c>
      <c r="AA21" s="69">
        <f t="shared" si="3"/>
        <v>0</v>
      </c>
      <c r="AB21" s="78"/>
      <c r="AC21" s="79"/>
    </row>
    <row r="22" spans="1:29" ht="70" customHeight="1">
      <c r="A22" s="120"/>
      <c r="B22" s="50">
        <f t="shared" si="4"/>
        <v>19</v>
      </c>
      <c r="C22" s="121" t="s">
        <v>87</v>
      </c>
      <c r="D22" s="50" t="s">
        <v>88</v>
      </c>
      <c r="E22" s="122">
        <v>50516915032</v>
      </c>
      <c r="F22" s="123" t="s">
        <v>91</v>
      </c>
      <c r="G22" s="51" t="s">
        <v>34</v>
      </c>
      <c r="H22" s="124">
        <v>3</v>
      </c>
      <c r="I22" s="125" t="s">
        <v>79</v>
      </c>
      <c r="J22" s="125" t="s">
        <v>79</v>
      </c>
      <c r="K22" s="125" t="s">
        <v>79</v>
      </c>
      <c r="L22" s="125" t="s">
        <v>79</v>
      </c>
      <c r="M22" s="56"/>
      <c r="N22" s="127"/>
      <c r="O22" s="72"/>
      <c r="P22" s="72"/>
      <c r="Q22" s="60">
        <f t="shared" si="9"/>
        <v>0</v>
      </c>
      <c r="R22" s="61">
        <f t="shared" si="6"/>
        <v>0</v>
      </c>
      <c r="S22" s="62">
        <f t="shared" si="0"/>
        <v>0</v>
      </c>
      <c r="T22" s="63"/>
      <c r="U22" s="64"/>
      <c r="V22" s="65"/>
      <c r="W22" s="61">
        <f t="shared" si="7"/>
        <v>0</v>
      </c>
      <c r="X22" s="66">
        <f t="shared" si="1"/>
        <v>0</v>
      </c>
      <c r="Y22" s="67">
        <f t="shared" si="2"/>
        <v>0</v>
      </c>
      <c r="Z22" s="68">
        <f t="shared" si="8"/>
        <v>0</v>
      </c>
      <c r="AA22" s="69">
        <f t="shared" si="3"/>
        <v>0</v>
      </c>
      <c r="AB22" s="78"/>
      <c r="AC22" s="79"/>
    </row>
    <row r="23" spans="1:29" ht="70" customHeight="1">
      <c r="A23" s="120"/>
      <c r="B23" s="50">
        <f t="shared" si="4"/>
        <v>20</v>
      </c>
      <c r="C23" s="121" t="s">
        <v>87</v>
      </c>
      <c r="D23" s="50" t="s">
        <v>88</v>
      </c>
      <c r="E23" s="122">
        <v>50516915033</v>
      </c>
      <c r="F23" s="123" t="s">
        <v>92</v>
      </c>
      <c r="G23" s="51" t="s">
        <v>34</v>
      </c>
      <c r="H23" s="124">
        <v>2</v>
      </c>
      <c r="I23" s="125" t="s">
        <v>79</v>
      </c>
      <c r="J23" s="125" t="s">
        <v>79</v>
      </c>
      <c r="K23" s="125" t="s">
        <v>79</v>
      </c>
      <c r="L23" s="125" t="s">
        <v>79</v>
      </c>
      <c r="M23" s="56"/>
      <c r="N23" s="127"/>
      <c r="O23" s="72"/>
      <c r="P23" s="72"/>
      <c r="Q23" s="60">
        <f t="shared" si="9"/>
        <v>0</v>
      </c>
      <c r="R23" s="61">
        <f t="shared" si="6"/>
        <v>0</v>
      </c>
      <c r="S23" s="62">
        <f t="shared" si="0"/>
        <v>0</v>
      </c>
      <c r="T23" s="63"/>
      <c r="U23" s="64"/>
      <c r="V23" s="65"/>
      <c r="W23" s="61">
        <f t="shared" si="7"/>
        <v>0</v>
      </c>
      <c r="X23" s="66">
        <f t="shared" si="1"/>
        <v>0</v>
      </c>
      <c r="Y23" s="67">
        <f t="shared" si="2"/>
        <v>0</v>
      </c>
      <c r="Z23" s="68">
        <f t="shared" si="8"/>
        <v>0</v>
      </c>
      <c r="AA23" s="69">
        <f t="shared" si="3"/>
        <v>0</v>
      </c>
      <c r="AB23" s="78"/>
      <c r="AC23" s="79"/>
    </row>
    <row r="24" spans="1:29" ht="70" customHeight="1">
      <c r="A24" s="120"/>
      <c r="B24" s="50">
        <f t="shared" si="4"/>
        <v>21</v>
      </c>
      <c r="C24" s="121" t="s">
        <v>87</v>
      </c>
      <c r="D24" s="50" t="s">
        <v>88</v>
      </c>
      <c r="E24" s="122">
        <v>50516915034</v>
      </c>
      <c r="F24" s="123" t="s">
        <v>93</v>
      </c>
      <c r="G24" s="51" t="s">
        <v>34</v>
      </c>
      <c r="H24" s="124">
        <v>2</v>
      </c>
      <c r="I24" s="125" t="s">
        <v>79</v>
      </c>
      <c r="J24" s="125" t="s">
        <v>79</v>
      </c>
      <c r="K24" s="125" t="s">
        <v>79</v>
      </c>
      <c r="L24" s="125" t="s">
        <v>79</v>
      </c>
      <c r="M24" s="56"/>
      <c r="N24" s="127"/>
      <c r="O24" s="72"/>
      <c r="P24" s="72"/>
      <c r="Q24" s="60">
        <f t="shared" si="9"/>
        <v>0</v>
      </c>
      <c r="R24" s="61">
        <f t="shared" si="6"/>
        <v>0</v>
      </c>
      <c r="S24" s="62">
        <f t="shared" si="0"/>
        <v>0</v>
      </c>
      <c r="T24" s="63"/>
      <c r="U24" s="64"/>
      <c r="V24" s="65"/>
      <c r="W24" s="61">
        <f t="shared" si="7"/>
        <v>0</v>
      </c>
      <c r="X24" s="66">
        <f t="shared" si="1"/>
        <v>0</v>
      </c>
      <c r="Y24" s="67">
        <f t="shared" si="2"/>
        <v>0</v>
      </c>
      <c r="Z24" s="68">
        <f t="shared" si="8"/>
        <v>0</v>
      </c>
      <c r="AA24" s="69">
        <f t="shared" si="3"/>
        <v>0</v>
      </c>
      <c r="AB24" s="78"/>
      <c r="AC24" s="79"/>
    </row>
    <row r="25" spans="1:29" ht="70" customHeight="1">
      <c r="A25" s="120"/>
      <c r="B25" s="50">
        <f t="shared" si="4"/>
        <v>22</v>
      </c>
      <c r="C25" s="121" t="s">
        <v>87</v>
      </c>
      <c r="D25" s="50" t="s">
        <v>88</v>
      </c>
      <c r="E25" s="122">
        <v>50516915035</v>
      </c>
      <c r="F25" s="123" t="s">
        <v>94</v>
      </c>
      <c r="G25" s="51" t="s">
        <v>34</v>
      </c>
      <c r="H25" s="124">
        <v>1</v>
      </c>
      <c r="I25" s="125" t="s">
        <v>79</v>
      </c>
      <c r="J25" s="125" t="s">
        <v>79</v>
      </c>
      <c r="K25" s="125" t="s">
        <v>79</v>
      </c>
      <c r="L25" s="125" t="s">
        <v>79</v>
      </c>
      <c r="M25" s="56"/>
      <c r="N25" s="127"/>
      <c r="O25" s="72"/>
      <c r="P25" s="72"/>
      <c r="Q25" s="60">
        <f t="shared" si="9"/>
        <v>0</v>
      </c>
      <c r="R25" s="61">
        <f t="shared" si="6"/>
        <v>0</v>
      </c>
      <c r="S25" s="62">
        <f t="shared" si="0"/>
        <v>0</v>
      </c>
      <c r="T25" s="63"/>
      <c r="U25" s="64"/>
      <c r="V25" s="65"/>
      <c r="W25" s="61">
        <f t="shared" si="7"/>
        <v>0</v>
      </c>
      <c r="X25" s="66">
        <f t="shared" si="1"/>
        <v>0</v>
      </c>
      <c r="Y25" s="67">
        <f t="shared" si="2"/>
        <v>0</v>
      </c>
      <c r="Z25" s="68">
        <f t="shared" si="8"/>
        <v>0</v>
      </c>
      <c r="AA25" s="69">
        <f t="shared" si="3"/>
        <v>0</v>
      </c>
      <c r="AB25" s="78"/>
      <c r="AC25" s="79"/>
    </row>
    <row r="26" spans="1:29" ht="70" customHeight="1">
      <c r="A26" s="120"/>
      <c r="B26" s="50">
        <f t="shared" si="4"/>
        <v>23</v>
      </c>
      <c r="C26" s="121" t="s">
        <v>87</v>
      </c>
      <c r="D26" s="50" t="s">
        <v>88</v>
      </c>
      <c r="E26" s="122">
        <v>58416915027</v>
      </c>
      <c r="F26" s="123" t="s">
        <v>95</v>
      </c>
      <c r="G26" s="51" t="s">
        <v>34</v>
      </c>
      <c r="H26" s="124">
        <v>1</v>
      </c>
      <c r="I26" s="125" t="s">
        <v>79</v>
      </c>
      <c r="J26" s="125" t="s">
        <v>79</v>
      </c>
      <c r="K26" s="125" t="s">
        <v>79</v>
      </c>
      <c r="L26" s="125" t="s">
        <v>79</v>
      </c>
      <c r="M26" s="56"/>
      <c r="N26" s="127"/>
      <c r="O26" s="72"/>
      <c r="P26" s="72"/>
      <c r="Q26" s="60">
        <f t="shared" si="9"/>
        <v>0</v>
      </c>
      <c r="R26" s="61">
        <f t="shared" si="6"/>
        <v>0</v>
      </c>
      <c r="S26" s="62">
        <f t="shared" si="0"/>
        <v>0</v>
      </c>
      <c r="T26" s="63"/>
      <c r="U26" s="64"/>
      <c r="V26" s="65"/>
      <c r="W26" s="61">
        <f t="shared" si="7"/>
        <v>0</v>
      </c>
      <c r="X26" s="66">
        <f t="shared" si="1"/>
        <v>0</v>
      </c>
      <c r="Y26" s="67">
        <f t="shared" si="2"/>
        <v>0</v>
      </c>
      <c r="Z26" s="68">
        <f t="shared" si="8"/>
        <v>0</v>
      </c>
      <c r="AA26" s="69">
        <f t="shared" si="3"/>
        <v>0</v>
      </c>
      <c r="AB26" s="78"/>
      <c r="AC26" s="79"/>
    </row>
    <row r="27" spans="1:29" ht="70" customHeight="1">
      <c r="A27" s="120"/>
      <c r="B27" s="50">
        <f t="shared" si="4"/>
        <v>24</v>
      </c>
      <c r="C27" s="121" t="s">
        <v>87</v>
      </c>
      <c r="D27" s="50" t="s">
        <v>88</v>
      </c>
      <c r="E27" s="122">
        <v>58416915028</v>
      </c>
      <c r="F27" s="123" t="s">
        <v>96</v>
      </c>
      <c r="G27" s="51" t="s">
        <v>34</v>
      </c>
      <c r="H27" s="124">
        <v>1</v>
      </c>
      <c r="I27" s="125" t="s">
        <v>79</v>
      </c>
      <c r="J27" s="125" t="s">
        <v>79</v>
      </c>
      <c r="K27" s="125" t="s">
        <v>79</v>
      </c>
      <c r="L27" s="125" t="s">
        <v>79</v>
      </c>
      <c r="M27" s="56"/>
      <c r="N27" s="127"/>
      <c r="O27" s="72"/>
      <c r="P27" s="72"/>
      <c r="Q27" s="60">
        <f t="shared" si="9"/>
        <v>0</v>
      </c>
      <c r="R27" s="61">
        <f t="shared" si="6"/>
        <v>0</v>
      </c>
      <c r="S27" s="62">
        <f t="shared" si="0"/>
        <v>0</v>
      </c>
      <c r="T27" s="63"/>
      <c r="U27" s="64"/>
      <c r="V27" s="65"/>
      <c r="W27" s="61">
        <f t="shared" si="7"/>
        <v>0</v>
      </c>
      <c r="X27" s="66">
        <f t="shared" si="1"/>
        <v>0</v>
      </c>
      <c r="Y27" s="67">
        <f t="shared" si="2"/>
        <v>0</v>
      </c>
      <c r="Z27" s="68">
        <f t="shared" si="8"/>
        <v>0</v>
      </c>
      <c r="AA27" s="69">
        <f t="shared" si="3"/>
        <v>0</v>
      </c>
      <c r="AB27" s="78"/>
      <c r="AC27" s="79"/>
    </row>
    <row r="28" spans="1:29" ht="70" customHeight="1">
      <c r="A28" s="120"/>
      <c r="B28" s="50">
        <f t="shared" si="4"/>
        <v>25</v>
      </c>
      <c r="C28" s="121" t="s">
        <v>87</v>
      </c>
      <c r="D28" s="50" t="s">
        <v>88</v>
      </c>
      <c r="E28" s="122">
        <v>60566915001</v>
      </c>
      <c r="F28" s="123" t="s">
        <v>97</v>
      </c>
      <c r="G28" s="51" t="s">
        <v>34</v>
      </c>
      <c r="H28" s="124">
        <v>1</v>
      </c>
      <c r="I28" s="125" t="s">
        <v>79</v>
      </c>
      <c r="J28" s="125" t="s">
        <v>79</v>
      </c>
      <c r="K28" s="125" t="s">
        <v>79</v>
      </c>
      <c r="L28" s="125" t="s">
        <v>79</v>
      </c>
      <c r="M28" s="56"/>
      <c r="N28" s="127"/>
      <c r="O28" s="72"/>
      <c r="P28" s="72"/>
      <c r="Q28" s="60">
        <f t="shared" si="9"/>
        <v>0</v>
      </c>
      <c r="R28" s="61">
        <f t="shared" si="6"/>
        <v>0</v>
      </c>
      <c r="S28" s="62">
        <f t="shared" si="0"/>
        <v>0</v>
      </c>
      <c r="T28" s="63"/>
      <c r="U28" s="64"/>
      <c r="V28" s="65"/>
      <c r="W28" s="61">
        <f t="shared" si="7"/>
        <v>0</v>
      </c>
      <c r="X28" s="66">
        <f t="shared" si="1"/>
        <v>0</v>
      </c>
      <c r="Y28" s="67">
        <f t="shared" si="2"/>
        <v>0</v>
      </c>
      <c r="Z28" s="68">
        <f t="shared" si="8"/>
        <v>0</v>
      </c>
      <c r="AA28" s="69">
        <f t="shared" si="3"/>
        <v>0</v>
      </c>
      <c r="AB28" s="78"/>
      <c r="AC28" s="79"/>
    </row>
    <row r="29" spans="1:29" ht="70" customHeight="1">
      <c r="A29" s="120"/>
      <c r="B29" s="50">
        <f t="shared" si="4"/>
        <v>26</v>
      </c>
      <c r="C29" s="121" t="s">
        <v>83</v>
      </c>
      <c r="D29" s="50" t="s">
        <v>84</v>
      </c>
      <c r="E29" s="122">
        <v>64616915016</v>
      </c>
      <c r="F29" s="123" t="s">
        <v>98</v>
      </c>
      <c r="G29" s="51" t="s">
        <v>34</v>
      </c>
      <c r="H29" s="124">
        <v>1</v>
      </c>
      <c r="I29" s="125">
        <v>14</v>
      </c>
      <c r="J29" s="125">
        <v>336</v>
      </c>
      <c r="K29" s="125">
        <v>24</v>
      </c>
      <c r="L29" s="125" t="s">
        <v>79</v>
      </c>
      <c r="M29" s="56"/>
      <c r="N29" s="127"/>
      <c r="O29" s="72"/>
      <c r="P29" s="72"/>
      <c r="Q29" s="60">
        <f t="shared" si="9"/>
        <v>0</v>
      </c>
      <c r="R29" s="61">
        <f t="shared" si="6"/>
        <v>0</v>
      </c>
      <c r="S29" s="62">
        <f t="shared" si="0"/>
        <v>0</v>
      </c>
      <c r="T29" s="63"/>
      <c r="U29" s="64"/>
      <c r="V29" s="65"/>
      <c r="W29" s="61">
        <f t="shared" si="7"/>
        <v>0</v>
      </c>
      <c r="X29" s="66">
        <f t="shared" si="1"/>
        <v>0</v>
      </c>
      <c r="Y29" s="67">
        <f t="shared" si="2"/>
        <v>0</v>
      </c>
      <c r="Z29" s="68">
        <f t="shared" si="8"/>
        <v>0</v>
      </c>
      <c r="AA29" s="69">
        <f t="shared" si="3"/>
        <v>0</v>
      </c>
      <c r="AB29" s="78"/>
      <c r="AC29" s="79"/>
    </row>
    <row r="30" spans="1:29" ht="70" customHeight="1">
      <c r="A30" s="120"/>
      <c r="B30" s="50">
        <f t="shared" si="4"/>
        <v>27</v>
      </c>
      <c r="C30" s="121" t="s">
        <v>87</v>
      </c>
      <c r="D30" s="50" t="s">
        <v>88</v>
      </c>
      <c r="E30" s="122">
        <v>64616915019</v>
      </c>
      <c r="F30" s="123" t="s">
        <v>99</v>
      </c>
      <c r="G30" s="51" t="s">
        <v>34</v>
      </c>
      <c r="H30" s="124">
        <v>1</v>
      </c>
      <c r="I30" s="125" t="s">
        <v>79</v>
      </c>
      <c r="J30" s="125" t="s">
        <v>79</v>
      </c>
      <c r="K30" s="125" t="s">
        <v>79</v>
      </c>
      <c r="L30" s="125" t="s">
        <v>79</v>
      </c>
      <c r="M30" s="56"/>
      <c r="N30" s="127"/>
      <c r="O30" s="72"/>
      <c r="P30" s="72"/>
      <c r="Q30" s="60">
        <f t="shared" si="9"/>
        <v>0</v>
      </c>
      <c r="R30" s="61">
        <f t="shared" si="6"/>
        <v>0</v>
      </c>
      <c r="S30" s="62">
        <f t="shared" si="0"/>
        <v>0</v>
      </c>
      <c r="T30" s="63"/>
      <c r="U30" s="64"/>
      <c r="V30" s="65"/>
      <c r="W30" s="61">
        <f t="shared" si="7"/>
        <v>0</v>
      </c>
      <c r="X30" s="66">
        <f t="shared" si="1"/>
        <v>0</v>
      </c>
      <c r="Y30" s="67">
        <f t="shared" si="2"/>
        <v>0</v>
      </c>
      <c r="Z30" s="68">
        <f t="shared" si="8"/>
        <v>0</v>
      </c>
      <c r="AA30" s="69">
        <f t="shared" si="3"/>
        <v>0</v>
      </c>
      <c r="AB30" s="78"/>
      <c r="AC30" s="79"/>
    </row>
    <row r="31" spans="1:29" ht="70" customHeight="1">
      <c r="A31" s="120"/>
      <c r="B31" s="50">
        <f t="shared" si="4"/>
        <v>28</v>
      </c>
      <c r="C31" s="121" t="s">
        <v>87</v>
      </c>
      <c r="D31" s="50" t="s">
        <v>88</v>
      </c>
      <c r="E31" s="122">
        <v>64616915020</v>
      </c>
      <c r="F31" s="123" t="s">
        <v>100</v>
      </c>
      <c r="G31" s="51" t="s">
        <v>34</v>
      </c>
      <c r="H31" s="124">
        <v>1</v>
      </c>
      <c r="I31" s="125" t="s">
        <v>79</v>
      </c>
      <c r="J31" s="125" t="s">
        <v>79</v>
      </c>
      <c r="K31" s="125" t="s">
        <v>79</v>
      </c>
      <c r="L31" s="125" t="s">
        <v>79</v>
      </c>
      <c r="M31" s="56"/>
      <c r="N31" s="127"/>
      <c r="O31" s="72"/>
      <c r="P31" s="72"/>
      <c r="Q31" s="60">
        <f t="shared" si="9"/>
        <v>0</v>
      </c>
      <c r="R31" s="61">
        <f>ROUNDDOWN(S31,0)</f>
        <v>0</v>
      </c>
      <c r="S31" s="62">
        <f t="shared" si="0"/>
        <v>0</v>
      </c>
      <c r="T31" s="63"/>
      <c r="U31" s="64"/>
      <c r="V31" s="65"/>
      <c r="W31" s="61">
        <f t="shared" si="7"/>
        <v>0</v>
      </c>
      <c r="X31" s="66">
        <f t="shared" si="1"/>
        <v>0</v>
      </c>
      <c r="Y31" s="67">
        <f t="shared" si="2"/>
        <v>0</v>
      </c>
      <c r="Z31" s="68">
        <f t="shared" si="8"/>
        <v>0</v>
      </c>
      <c r="AA31" s="69">
        <f t="shared" si="3"/>
        <v>0</v>
      </c>
      <c r="AB31" s="78"/>
      <c r="AC31" s="79"/>
    </row>
    <row r="32" spans="1:29" ht="70" customHeight="1">
      <c r="A32" s="120"/>
      <c r="B32" s="50">
        <f t="shared" si="4"/>
        <v>29</v>
      </c>
      <c r="C32" s="121" t="s">
        <v>87</v>
      </c>
      <c r="D32" s="50" t="s">
        <v>88</v>
      </c>
      <c r="E32" s="122">
        <v>64616915021</v>
      </c>
      <c r="F32" s="123" t="s">
        <v>101</v>
      </c>
      <c r="G32" s="51" t="s">
        <v>34</v>
      </c>
      <c r="H32" s="124">
        <v>1</v>
      </c>
      <c r="I32" s="125" t="s">
        <v>79</v>
      </c>
      <c r="J32" s="125" t="s">
        <v>79</v>
      </c>
      <c r="K32" s="125" t="s">
        <v>79</v>
      </c>
      <c r="L32" s="125" t="s">
        <v>79</v>
      </c>
      <c r="M32" s="56"/>
      <c r="N32" s="127"/>
      <c r="O32" s="72"/>
      <c r="P32" s="128"/>
      <c r="Q32" s="60">
        <f t="shared" si="9"/>
        <v>0</v>
      </c>
      <c r="R32" s="61">
        <f t="shared" si="6"/>
        <v>0</v>
      </c>
      <c r="S32" s="62">
        <f t="shared" si="0"/>
        <v>0</v>
      </c>
      <c r="T32" s="63"/>
      <c r="U32" s="64"/>
      <c r="V32" s="65"/>
      <c r="W32" s="61">
        <f t="shared" si="7"/>
        <v>0</v>
      </c>
      <c r="X32" s="66">
        <f t="shared" si="1"/>
        <v>0</v>
      </c>
      <c r="Y32" s="67">
        <f t="shared" si="2"/>
        <v>0</v>
      </c>
      <c r="Z32" s="68">
        <f t="shared" si="8"/>
        <v>0</v>
      </c>
      <c r="AA32" s="69">
        <f t="shared" si="3"/>
        <v>0</v>
      </c>
      <c r="AB32" s="78"/>
      <c r="AC32" s="79"/>
    </row>
    <row r="33" spans="1:29" ht="70" customHeight="1">
      <c r="A33" s="120"/>
      <c r="B33" s="50">
        <f t="shared" si="4"/>
        <v>30</v>
      </c>
      <c r="C33" s="121" t="s">
        <v>87</v>
      </c>
      <c r="D33" s="50" t="s">
        <v>88</v>
      </c>
      <c r="E33" s="122">
        <v>64616915022</v>
      </c>
      <c r="F33" s="123" t="s">
        <v>102</v>
      </c>
      <c r="G33" s="51" t="s">
        <v>34</v>
      </c>
      <c r="H33" s="124">
        <v>1</v>
      </c>
      <c r="I33" s="125" t="s">
        <v>79</v>
      </c>
      <c r="J33" s="125" t="s">
        <v>79</v>
      </c>
      <c r="K33" s="125" t="s">
        <v>79</v>
      </c>
      <c r="L33" s="125" t="s">
        <v>79</v>
      </c>
      <c r="M33" s="56"/>
      <c r="N33" s="127"/>
      <c r="O33" s="72"/>
      <c r="P33" s="128"/>
      <c r="Q33" s="60">
        <f t="shared" si="9"/>
        <v>0</v>
      </c>
      <c r="R33" s="61">
        <f t="shared" si="6"/>
        <v>0</v>
      </c>
      <c r="S33" s="62">
        <f t="shared" si="0"/>
        <v>0</v>
      </c>
      <c r="T33" s="63"/>
      <c r="U33" s="64"/>
      <c r="V33" s="65"/>
      <c r="W33" s="61">
        <f t="shared" si="7"/>
        <v>0</v>
      </c>
      <c r="X33" s="66">
        <f t="shared" si="1"/>
        <v>0</v>
      </c>
      <c r="Y33" s="67">
        <f t="shared" si="2"/>
        <v>0</v>
      </c>
      <c r="Z33" s="68">
        <f t="shared" si="8"/>
        <v>0</v>
      </c>
      <c r="AA33" s="69">
        <f t="shared" si="3"/>
        <v>0</v>
      </c>
      <c r="AB33" s="78"/>
      <c r="AC33" s="79"/>
    </row>
    <row r="34" spans="1:29" ht="70" customHeight="1">
      <c r="A34" s="120"/>
      <c r="B34" s="50">
        <f t="shared" si="4"/>
        <v>31</v>
      </c>
      <c r="C34" s="121" t="s">
        <v>87</v>
      </c>
      <c r="D34" s="50" t="s">
        <v>88</v>
      </c>
      <c r="E34" s="129">
        <v>64616915023</v>
      </c>
      <c r="F34" s="123" t="s">
        <v>103</v>
      </c>
      <c r="G34" s="51" t="s">
        <v>34</v>
      </c>
      <c r="H34" s="124">
        <v>1</v>
      </c>
      <c r="I34" s="125" t="s">
        <v>79</v>
      </c>
      <c r="J34" s="125" t="s">
        <v>79</v>
      </c>
      <c r="K34" s="125" t="s">
        <v>79</v>
      </c>
      <c r="L34" s="125" t="s">
        <v>79</v>
      </c>
      <c r="M34" s="56"/>
      <c r="N34" s="127"/>
      <c r="O34" s="72"/>
      <c r="P34" s="72"/>
      <c r="Q34" s="60">
        <f t="shared" si="9"/>
        <v>0</v>
      </c>
      <c r="R34" s="61">
        <f t="shared" si="6"/>
        <v>0</v>
      </c>
      <c r="S34" s="62">
        <f t="shared" si="0"/>
        <v>0</v>
      </c>
      <c r="T34" s="63"/>
      <c r="U34" s="64"/>
      <c r="V34" s="65"/>
      <c r="W34" s="61">
        <f t="shared" si="7"/>
        <v>0</v>
      </c>
      <c r="X34" s="66">
        <f t="shared" si="1"/>
        <v>0</v>
      </c>
      <c r="Y34" s="67">
        <f t="shared" si="2"/>
        <v>0</v>
      </c>
      <c r="Z34" s="68">
        <f t="shared" si="8"/>
        <v>0</v>
      </c>
      <c r="AA34" s="69">
        <f t="shared" si="3"/>
        <v>0</v>
      </c>
      <c r="AB34" s="78"/>
      <c r="AC34" s="79"/>
    </row>
    <row r="35" spans="1:29" ht="70" customHeight="1">
      <c r="A35" s="120"/>
      <c r="B35" s="50">
        <f t="shared" si="4"/>
        <v>32</v>
      </c>
      <c r="C35" s="121" t="s">
        <v>87</v>
      </c>
      <c r="D35" s="50" t="s">
        <v>88</v>
      </c>
      <c r="E35" s="129">
        <v>64616915024</v>
      </c>
      <c r="F35" s="123" t="s">
        <v>104</v>
      </c>
      <c r="G35" s="51" t="s">
        <v>34</v>
      </c>
      <c r="H35" s="124">
        <v>1</v>
      </c>
      <c r="I35" s="125" t="s">
        <v>79</v>
      </c>
      <c r="J35" s="125" t="s">
        <v>79</v>
      </c>
      <c r="K35" s="125" t="s">
        <v>79</v>
      </c>
      <c r="L35" s="125" t="s">
        <v>79</v>
      </c>
      <c r="M35" s="56"/>
      <c r="N35" s="127"/>
      <c r="O35" s="72"/>
      <c r="P35" s="72"/>
      <c r="Q35" s="60">
        <f t="shared" si="9"/>
        <v>0</v>
      </c>
      <c r="R35" s="61">
        <f t="shared" si="6"/>
        <v>0</v>
      </c>
      <c r="S35" s="62">
        <f t="shared" si="0"/>
        <v>0</v>
      </c>
      <c r="T35" s="63"/>
      <c r="U35" s="64"/>
      <c r="V35" s="65"/>
      <c r="W35" s="61">
        <f t="shared" si="7"/>
        <v>0</v>
      </c>
      <c r="X35" s="66">
        <f t="shared" si="1"/>
        <v>0</v>
      </c>
      <c r="Y35" s="67">
        <f t="shared" si="2"/>
        <v>0</v>
      </c>
      <c r="Z35" s="68">
        <f t="shared" si="8"/>
        <v>0</v>
      </c>
      <c r="AA35" s="69">
        <f t="shared" si="3"/>
        <v>0</v>
      </c>
      <c r="AB35" s="78"/>
      <c r="AC35" s="79"/>
    </row>
    <row r="36" spans="1:29" ht="70" customHeight="1">
      <c r="A36" s="120"/>
      <c r="B36" s="50">
        <f t="shared" si="4"/>
        <v>33</v>
      </c>
      <c r="C36" s="121" t="s">
        <v>105</v>
      </c>
      <c r="D36" s="50" t="s">
        <v>106</v>
      </c>
      <c r="E36" s="122">
        <v>67816915001</v>
      </c>
      <c r="F36" s="123" t="s">
        <v>107</v>
      </c>
      <c r="G36" s="51" t="s">
        <v>34</v>
      </c>
      <c r="H36" s="124">
        <v>1</v>
      </c>
      <c r="I36" s="125" t="s">
        <v>79</v>
      </c>
      <c r="J36" s="125" t="s">
        <v>79</v>
      </c>
      <c r="K36" s="125" t="s">
        <v>79</v>
      </c>
      <c r="L36" s="125" t="s">
        <v>79</v>
      </c>
      <c r="M36" s="56"/>
      <c r="N36" s="127"/>
      <c r="O36" s="126"/>
      <c r="P36" s="59"/>
      <c r="Q36" s="60">
        <f t="shared" si="9"/>
        <v>0</v>
      </c>
      <c r="R36" s="61">
        <f>ROUNDDOWN(S36,0)</f>
        <v>0</v>
      </c>
      <c r="S36" s="62">
        <f t="shared" si="0"/>
        <v>0</v>
      </c>
      <c r="T36" s="63"/>
      <c r="U36" s="64"/>
      <c r="V36" s="65"/>
      <c r="W36" s="61">
        <f t="shared" si="7"/>
        <v>0</v>
      </c>
      <c r="X36" s="66">
        <f t="shared" si="1"/>
        <v>0</v>
      </c>
      <c r="Y36" s="67">
        <f t="shared" si="2"/>
        <v>0</v>
      </c>
      <c r="Z36" s="68">
        <f t="shared" si="8"/>
        <v>0</v>
      </c>
      <c r="AA36" s="69">
        <f t="shared" si="3"/>
        <v>0</v>
      </c>
      <c r="AB36" s="78"/>
      <c r="AC36" s="79"/>
    </row>
    <row r="37" spans="1:29" ht="70" customHeight="1">
      <c r="A37" s="120"/>
      <c r="B37" s="50">
        <f t="shared" si="4"/>
        <v>34</v>
      </c>
      <c r="C37" s="121" t="s">
        <v>105</v>
      </c>
      <c r="D37" s="50" t="s">
        <v>106</v>
      </c>
      <c r="E37" s="122">
        <v>67816915002</v>
      </c>
      <c r="F37" s="123" t="s">
        <v>107</v>
      </c>
      <c r="G37" s="51" t="s">
        <v>34</v>
      </c>
      <c r="H37" s="124">
        <v>1</v>
      </c>
      <c r="I37" s="125" t="s">
        <v>79</v>
      </c>
      <c r="J37" s="125" t="s">
        <v>79</v>
      </c>
      <c r="K37" s="125" t="s">
        <v>79</v>
      </c>
      <c r="L37" s="125" t="s">
        <v>79</v>
      </c>
      <c r="M37" s="56"/>
      <c r="N37" s="110"/>
      <c r="O37" s="126"/>
      <c r="P37" s="59"/>
      <c r="Q37" s="60">
        <f t="shared" si="9"/>
        <v>0</v>
      </c>
      <c r="R37" s="61">
        <f t="shared" si="6"/>
        <v>0</v>
      </c>
      <c r="S37" s="62">
        <f t="shared" si="0"/>
        <v>0</v>
      </c>
      <c r="T37" s="63"/>
      <c r="U37" s="64"/>
      <c r="V37" s="65"/>
      <c r="W37" s="61">
        <f t="shared" si="7"/>
        <v>0</v>
      </c>
      <c r="X37" s="66">
        <f t="shared" si="1"/>
        <v>0</v>
      </c>
      <c r="Y37" s="67">
        <f t="shared" si="2"/>
        <v>0</v>
      </c>
      <c r="Z37" s="68">
        <f t="shared" si="8"/>
        <v>0</v>
      </c>
      <c r="AA37" s="69">
        <f t="shared" si="3"/>
        <v>0</v>
      </c>
      <c r="AB37" s="78"/>
      <c r="AC37" s="79"/>
    </row>
    <row r="38" spans="1:29" ht="70" customHeight="1">
      <c r="A38" s="120"/>
      <c r="B38" s="50">
        <f t="shared" si="4"/>
        <v>35</v>
      </c>
      <c r="C38" s="121" t="s">
        <v>83</v>
      </c>
      <c r="D38" s="50" t="s">
        <v>84</v>
      </c>
      <c r="E38" s="122" t="s">
        <v>108</v>
      </c>
      <c r="F38" s="123" t="s">
        <v>109</v>
      </c>
      <c r="G38" s="51" t="s">
        <v>34</v>
      </c>
      <c r="H38" s="124">
        <v>1</v>
      </c>
      <c r="I38" s="125" t="s">
        <v>79</v>
      </c>
      <c r="J38" s="125" t="s">
        <v>79</v>
      </c>
      <c r="K38" s="125" t="s">
        <v>79</v>
      </c>
      <c r="L38" s="125" t="s">
        <v>79</v>
      </c>
      <c r="M38" s="56"/>
      <c r="N38" s="110"/>
      <c r="O38" s="126"/>
      <c r="P38" s="72"/>
      <c r="Q38" s="60">
        <f t="shared" si="9"/>
        <v>0</v>
      </c>
      <c r="R38" s="61">
        <f t="shared" si="6"/>
        <v>0</v>
      </c>
      <c r="S38" s="62">
        <f t="shared" si="0"/>
        <v>0</v>
      </c>
      <c r="T38" s="63"/>
      <c r="U38" s="64"/>
      <c r="V38" s="130"/>
      <c r="W38" s="61">
        <f t="shared" si="7"/>
        <v>0</v>
      </c>
      <c r="X38" s="66">
        <f t="shared" si="1"/>
        <v>0</v>
      </c>
      <c r="Y38" s="67">
        <f t="shared" si="2"/>
        <v>0</v>
      </c>
      <c r="Z38" s="68">
        <f t="shared" si="8"/>
        <v>0</v>
      </c>
      <c r="AA38" s="69">
        <f t="shared" si="3"/>
        <v>0</v>
      </c>
      <c r="AB38" s="131"/>
      <c r="AC38" s="132"/>
    </row>
    <row r="39" spans="1:29" ht="70" customHeight="1">
      <c r="A39" s="120"/>
      <c r="B39" s="50">
        <f t="shared" si="4"/>
        <v>36</v>
      </c>
      <c r="C39" s="121" t="s">
        <v>110</v>
      </c>
      <c r="D39" s="50" t="s">
        <v>111</v>
      </c>
      <c r="E39" s="133">
        <v>70216915044</v>
      </c>
      <c r="F39" s="134" t="s">
        <v>112</v>
      </c>
      <c r="G39" s="51" t="s">
        <v>34</v>
      </c>
      <c r="H39" s="124">
        <v>4</v>
      </c>
      <c r="I39" s="125" t="s">
        <v>79</v>
      </c>
      <c r="J39" s="125" t="s">
        <v>79</v>
      </c>
      <c r="K39" s="125" t="s">
        <v>79</v>
      </c>
      <c r="L39" s="125" t="s">
        <v>79</v>
      </c>
      <c r="M39" s="56"/>
      <c r="N39" s="110"/>
      <c r="O39" s="126"/>
      <c r="P39" s="72"/>
      <c r="Q39" s="60">
        <f t="shared" si="9"/>
        <v>0</v>
      </c>
      <c r="R39" s="61">
        <f>ROUNDDOWN(S39,0)</f>
        <v>0</v>
      </c>
      <c r="S39" s="62">
        <f t="shared" si="0"/>
        <v>0</v>
      </c>
      <c r="T39" s="63"/>
      <c r="U39" s="64"/>
      <c r="V39" s="65"/>
      <c r="W39" s="61">
        <f t="shared" si="7"/>
        <v>0</v>
      </c>
      <c r="X39" s="66">
        <f t="shared" si="1"/>
        <v>0</v>
      </c>
      <c r="Y39" s="67">
        <f t="shared" si="2"/>
        <v>0</v>
      </c>
      <c r="Z39" s="68">
        <f t="shared" si="8"/>
        <v>0</v>
      </c>
      <c r="AA39" s="69">
        <f t="shared" si="3"/>
        <v>0</v>
      </c>
      <c r="AB39" s="78"/>
      <c r="AC39" s="79"/>
    </row>
    <row r="40" spans="1:29" ht="70" customHeight="1">
      <c r="A40" s="120"/>
      <c r="B40" s="50">
        <f t="shared" si="4"/>
        <v>37</v>
      </c>
      <c r="C40" s="121" t="s">
        <v>110</v>
      </c>
      <c r="D40" s="50" t="s">
        <v>113</v>
      </c>
      <c r="E40" s="133">
        <v>70216915045</v>
      </c>
      <c r="F40" s="134" t="s">
        <v>114</v>
      </c>
      <c r="G40" s="51" t="s">
        <v>34</v>
      </c>
      <c r="H40" s="124">
        <v>1</v>
      </c>
      <c r="I40" s="125" t="s">
        <v>79</v>
      </c>
      <c r="J40" s="125" t="s">
        <v>79</v>
      </c>
      <c r="K40" s="125" t="s">
        <v>79</v>
      </c>
      <c r="L40" s="125" t="s">
        <v>79</v>
      </c>
      <c r="M40" s="56"/>
      <c r="N40" s="110"/>
      <c r="O40" s="126"/>
      <c r="P40" s="72"/>
      <c r="Q40" s="60">
        <f t="shared" si="9"/>
        <v>0</v>
      </c>
      <c r="R40" s="61">
        <f t="shared" si="6"/>
        <v>0</v>
      </c>
      <c r="S40" s="62">
        <f t="shared" si="0"/>
        <v>0</v>
      </c>
      <c r="T40" s="63"/>
      <c r="U40" s="64"/>
      <c r="V40" s="65"/>
      <c r="W40" s="61">
        <f t="shared" si="7"/>
        <v>0</v>
      </c>
      <c r="X40" s="66">
        <f t="shared" si="1"/>
        <v>0</v>
      </c>
      <c r="Y40" s="67">
        <f t="shared" si="2"/>
        <v>0</v>
      </c>
      <c r="Z40" s="68">
        <f t="shared" si="8"/>
        <v>0</v>
      </c>
      <c r="AA40" s="69">
        <f t="shared" si="3"/>
        <v>0</v>
      </c>
      <c r="AB40" s="79"/>
    </row>
    <row r="41" spans="1:29" ht="70" customHeight="1">
      <c r="A41" s="120"/>
      <c r="B41" s="50">
        <f t="shared" si="4"/>
        <v>38</v>
      </c>
      <c r="C41" s="121" t="s">
        <v>110</v>
      </c>
      <c r="D41" s="50" t="s">
        <v>113</v>
      </c>
      <c r="E41" s="133">
        <v>70216915046</v>
      </c>
      <c r="F41" s="134" t="s">
        <v>115</v>
      </c>
      <c r="G41" s="51" t="s">
        <v>34</v>
      </c>
      <c r="H41" s="124">
        <v>1</v>
      </c>
      <c r="I41" s="125" t="s">
        <v>79</v>
      </c>
      <c r="J41" s="125" t="s">
        <v>79</v>
      </c>
      <c r="K41" s="125" t="s">
        <v>79</v>
      </c>
      <c r="L41" s="125" t="s">
        <v>79</v>
      </c>
      <c r="M41" s="56"/>
      <c r="N41" s="110"/>
      <c r="O41" s="126"/>
      <c r="P41" s="72"/>
      <c r="Q41" s="60">
        <f t="shared" si="9"/>
        <v>0</v>
      </c>
      <c r="R41" s="61">
        <f t="shared" si="6"/>
        <v>0</v>
      </c>
      <c r="S41" s="62">
        <f t="shared" si="0"/>
        <v>0</v>
      </c>
      <c r="T41" s="63"/>
      <c r="U41" s="64"/>
      <c r="V41" s="65"/>
      <c r="W41" s="61">
        <f t="shared" si="7"/>
        <v>0</v>
      </c>
      <c r="X41" s="66">
        <f t="shared" si="1"/>
        <v>0</v>
      </c>
      <c r="Y41" s="67">
        <f t="shared" si="2"/>
        <v>0</v>
      </c>
      <c r="Z41" s="68">
        <f t="shared" si="8"/>
        <v>0</v>
      </c>
      <c r="AA41" s="69">
        <f t="shared" si="3"/>
        <v>0</v>
      </c>
      <c r="AB41" s="78"/>
      <c r="AC41" s="79"/>
    </row>
    <row r="42" spans="1:29" ht="70" customHeight="1">
      <c r="A42" s="120"/>
      <c r="B42" s="50">
        <f t="shared" si="4"/>
        <v>39</v>
      </c>
      <c r="C42" s="121" t="s">
        <v>110</v>
      </c>
      <c r="D42" s="50" t="s">
        <v>113</v>
      </c>
      <c r="E42" s="133">
        <v>70216915047</v>
      </c>
      <c r="F42" s="134" t="s">
        <v>116</v>
      </c>
      <c r="G42" s="51" t="s">
        <v>34</v>
      </c>
      <c r="H42" s="124">
        <v>1</v>
      </c>
      <c r="I42" s="125" t="s">
        <v>79</v>
      </c>
      <c r="J42" s="125" t="s">
        <v>79</v>
      </c>
      <c r="K42" s="125" t="s">
        <v>79</v>
      </c>
      <c r="L42" s="125" t="s">
        <v>79</v>
      </c>
      <c r="M42" s="56"/>
      <c r="N42" s="110"/>
      <c r="O42" s="126"/>
      <c r="P42" s="72"/>
      <c r="Q42" s="60">
        <f t="shared" si="9"/>
        <v>0</v>
      </c>
      <c r="R42" s="61">
        <f t="shared" si="6"/>
        <v>0</v>
      </c>
      <c r="S42" s="62">
        <f t="shared" si="0"/>
        <v>0</v>
      </c>
      <c r="T42" s="63"/>
      <c r="U42" s="64"/>
      <c r="V42" s="65"/>
      <c r="W42" s="61">
        <f t="shared" si="7"/>
        <v>0</v>
      </c>
      <c r="X42" s="66">
        <f t="shared" si="1"/>
        <v>0</v>
      </c>
      <c r="Y42" s="67">
        <f t="shared" si="2"/>
        <v>0</v>
      </c>
      <c r="Z42" s="68">
        <f t="shared" si="8"/>
        <v>0</v>
      </c>
      <c r="AA42" s="69">
        <f t="shared" si="3"/>
        <v>0</v>
      </c>
      <c r="AB42" s="78"/>
      <c r="AC42" s="79"/>
    </row>
    <row r="43" spans="1:29" ht="70" customHeight="1">
      <c r="A43" s="120"/>
      <c r="B43" s="50">
        <f t="shared" si="4"/>
        <v>40</v>
      </c>
      <c r="C43" s="121" t="s">
        <v>110</v>
      </c>
      <c r="D43" s="50" t="s">
        <v>113</v>
      </c>
      <c r="E43" s="133">
        <v>70216915048</v>
      </c>
      <c r="F43" s="134" t="s">
        <v>117</v>
      </c>
      <c r="G43" s="51" t="s">
        <v>34</v>
      </c>
      <c r="H43" s="124">
        <v>1</v>
      </c>
      <c r="I43" s="125" t="s">
        <v>79</v>
      </c>
      <c r="J43" s="125" t="s">
        <v>79</v>
      </c>
      <c r="K43" s="125" t="s">
        <v>79</v>
      </c>
      <c r="L43" s="125" t="s">
        <v>79</v>
      </c>
      <c r="M43" s="56"/>
      <c r="N43" s="110"/>
      <c r="O43" s="126"/>
      <c r="P43" s="72"/>
      <c r="Q43" s="60">
        <f t="shared" si="9"/>
        <v>0</v>
      </c>
      <c r="R43" s="61">
        <f t="shared" si="6"/>
        <v>0</v>
      </c>
      <c r="S43" s="62">
        <f t="shared" si="0"/>
        <v>0</v>
      </c>
      <c r="T43" s="63"/>
      <c r="U43" s="64"/>
      <c r="V43" s="65"/>
      <c r="W43" s="61">
        <f t="shared" si="7"/>
        <v>0</v>
      </c>
      <c r="X43" s="66">
        <f t="shared" si="1"/>
        <v>0</v>
      </c>
      <c r="Y43" s="67">
        <f t="shared" si="2"/>
        <v>0</v>
      </c>
      <c r="Z43" s="68">
        <f t="shared" si="8"/>
        <v>0</v>
      </c>
      <c r="AA43" s="69">
        <f t="shared" si="3"/>
        <v>0</v>
      </c>
      <c r="AB43" s="78"/>
      <c r="AC43" s="79"/>
    </row>
    <row r="44" spans="1:29" ht="70" customHeight="1">
      <c r="A44" s="120"/>
      <c r="B44" s="50">
        <f t="shared" si="4"/>
        <v>41</v>
      </c>
      <c r="C44" s="121" t="s">
        <v>110</v>
      </c>
      <c r="D44" s="50" t="s">
        <v>113</v>
      </c>
      <c r="E44" s="133" t="s">
        <v>118</v>
      </c>
      <c r="F44" s="134" t="s">
        <v>119</v>
      </c>
      <c r="G44" s="51" t="s">
        <v>34</v>
      </c>
      <c r="H44" s="124">
        <v>1</v>
      </c>
      <c r="I44" s="125" t="s">
        <v>79</v>
      </c>
      <c r="J44" s="125" t="s">
        <v>79</v>
      </c>
      <c r="K44" s="125" t="s">
        <v>79</v>
      </c>
      <c r="L44" s="125" t="s">
        <v>79</v>
      </c>
      <c r="M44" s="56"/>
      <c r="N44" s="110"/>
      <c r="O44" s="126"/>
      <c r="P44" s="72"/>
      <c r="Q44" s="60">
        <f t="shared" si="9"/>
        <v>0</v>
      </c>
      <c r="R44" s="61">
        <f t="shared" si="6"/>
        <v>0</v>
      </c>
      <c r="S44" s="62">
        <f t="shared" si="0"/>
        <v>0</v>
      </c>
      <c r="T44" s="63"/>
      <c r="U44" s="64"/>
      <c r="V44" s="65"/>
      <c r="W44" s="61">
        <f t="shared" si="7"/>
        <v>0</v>
      </c>
      <c r="X44" s="66">
        <f t="shared" si="1"/>
        <v>0</v>
      </c>
      <c r="Y44" s="67">
        <f t="shared" si="2"/>
        <v>0</v>
      </c>
      <c r="Z44" s="68">
        <f>ROUNDDOWN(AA44,0)</f>
        <v>0</v>
      </c>
      <c r="AA44" s="69">
        <f t="shared" si="3"/>
        <v>0</v>
      </c>
      <c r="AB44" s="78"/>
      <c r="AC44" s="79"/>
    </row>
    <row r="45" spans="1:29" ht="70" customHeight="1">
      <c r="A45" s="120"/>
      <c r="B45" s="50">
        <f t="shared" si="4"/>
        <v>42</v>
      </c>
      <c r="C45" s="121" t="s">
        <v>110</v>
      </c>
      <c r="D45" s="50" t="s">
        <v>113</v>
      </c>
      <c r="E45" s="133" t="s">
        <v>120</v>
      </c>
      <c r="F45" s="134" t="s">
        <v>121</v>
      </c>
      <c r="G45" s="51" t="s">
        <v>34</v>
      </c>
      <c r="H45" s="135">
        <v>3</v>
      </c>
      <c r="I45" s="136" t="s">
        <v>79</v>
      </c>
      <c r="J45" s="136" t="s">
        <v>79</v>
      </c>
      <c r="K45" s="136" t="s">
        <v>79</v>
      </c>
      <c r="L45" s="136" t="s">
        <v>79</v>
      </c>
      <c r="M45" s="56"/>
      <c r="N45" s="110"/>
      <c r="O45" s="126"/>
      <c r="P45" s="137"/>
      <c r="Q45" s="60">
        <f t="shared" si="9"/>
        <v>0</v>
      </c>
      <c r="R45" s="61">
        <f t="shared" si="6"/>
        <v>0</v>
      </c>
      <c r="S45" s="62">
        <f t="shared" si="0"/>
        <v>0</v>
      </c>
      <c r="T45" s="138"/>
      <c r="U45" s="64"/>
      <c r="V45" s="139"/>
      <c r="W45" s="61">
        <f t="shared" si="7"/>
        <v>0</v>
      </c>
      <c r="X45" s="66">
        <f t="shared" si="1"/>
        <v>0</v>
      </c>
      <c r="Y45" s="67">
        <f t="shared" si="2"/>
        <v>0</v>
      </c>
      <c r="Z45" s="68">
        <f t="shared" si="8"/>
        <v>0</v>
      </c>
      <c r="AA45" s="69">
        <f t="shared" si="3"/>
        <v>0</v>
      </c>
      <c r="AB45" s="78"/>
      <c r="AC45" s="79"/>
    </row>
    <row r="46" spans="1:29" ht="70" customHeight="1">
      <c r="A46" s="120"/>
      <c r="B46" s="50">
        <f t="shared" si="4"/>
        <v>43</v>
      </c>
      <c r="C46" s="121" t="s">
        <v>110</v>
      </c>
      <c r="D46" s="50" t="s">
        <v>113</v>
      </c>
      <c r="E46" s="133" t="s">
        <v>122</v>
      </c>
      <c r="F46" s="134" t="s">
        <v>123</v>
      </c>
      <c r="G46" s="51" t="s">
        <v>34</v>
      </c>
      <c r="H46" s="124">
        <v>1</v>
      </c>
      <c r="I46" s="125" t="s">
        <v>79</v>
      </c>
      <c r="J46" s="125" t="s">
        <v>79</v>
      </c>
      <c r="K46" s="125" t="s">
        <v>79</v>
      </c>
      <c r="L46" s="125" t="s">
        <v>79</v>
      </c>
      <c r="M46" s="56"/>
      <c r="N46" s="110"/>
      <c r="O46" s="126"/>
      <c r="P46" s="72"/>
      <c r="Q46" s="60">
        <f t="shared" si="9"/>
        <v>0</v>
      </c>
      <c r="R46" s="61">
        <f t="shared" si="6"/>
        <v>0</v>
      </c>
      <c r="S46" s="62">
        <f t="shared" si="0"/>
        <v>0</v>
      </c>
      <c r="T46" s="63"/>
      <c r="U46" s="64"/>
      <c r="V46" s="65"/>
      <c r="W46" s="61">
        <f t="shared" si="7"/>
        <v>0</v>
      </c>
      <c r="X46" s="66">
        <f t="shared" si="1"/>
        <v>0</v>
      </c>
      <c r="Y46" s="67">
        <f t="shared" si="2"/>
        <v>0</v>
      </c>
      <c r="Z46" s="68">
        <f>ROUNDDOWN(AA46,0)</f>
        <v>0</v>
      </c>
      <c r="AA46" s="69">
        <f t="shared" si="3"/>
        <v>0</v>
      </c>
      <c r="AB46" s="78"/>
      <c r="AC46" s="79"/>
    </row>
    <row r="47" spans="1:29" ht="70" customHeight="1">
      <c r="A47" s="120"/>
      <c r="B47" s="50">
        <f t="shared" si="4"/>
        <v>44</v>
      </c>
      <c r="C47" s="121" t="s">
        <v>110</v>
      </c>
      <c r="D47" s="50" t="s">
        <v>113</v>
      </c>
      <c r="E47" s="133" t="s">
        <v>124</v>
      </c>
      <c r="F47" s="134" t="s">
        <v>125</v>
      </c>
      <c r="G47" s="51" t="s">
        <v>34</v>
      </c>
      <c r="H47" s="124">
        <v>1</v>
      </c>
      <c r="I47" s="125" t="s">
        <v>79</v>
      </c>
      <c r="J47" s="125" t="s">
        <v>79</v>
      </c>
      <c r="K47" s="125" t="s">
        <v>79</v>
      </c>
      <c r="L47" s="125" t="s">
        <v>79</v>
      </c>
      <c r="M47" s="56"/>
      <c r="N47" s="110"/>
      <c r="O47" s="126"/>
      <c r="P47" s="72"/>
      <c r="Q47" s="60">
        <f t="shared" si="9"/>
        <v>0</v>
      </c>
      <c r="R47" s="61">
        <f t="shared" si="6"/>
        <v>0</v>
      </c>
      <c r="S47" s="62">
        <f t="shared" si="0"/>
        <v>0</v>
      </c>
      <c r="T47" s="63"/>
      <c r="U47" s="64"/>
      <c r="V47" s="65"/>
      <c r="W47" s="61">
        <f t="shared" si="7"/>
        <v>0</v>
      </c>
      <c r="X47" s="66">
        <f t="shared" si="1"/>
        <v>0</v>
      </c>
      <c r="Y47" s="67">
        <f t="shared" si="2"/>
        <v>0</v>
      </c>
      <c r="Z47" s="68">
        <f t="shared" si="8"/>
        <v>0</v>
      </c>
      <c r="AA47" s="69">
        <f t="shared" si="3"/>
        <v>0</v>
      </c>
      <c r="AB47" s="78"/>
      <c r="AC47" s="79"/>
    </row>
    <row r="48" spans="1:29" ht="70" customHeight="1">
      <c r="A48" s="120"/>
      <c r="B48" s="50">
        <f t="shared" si="4"/>
        <v>45</v>
      </c>
      <c r="C48" s="121" t="s">
        <v>110</v>
      </c>
      <c r="D48" s="50" t="s">
        <v>113</v>
      </c>
      <c r="E48" s="133" t="s">
        <v>126</v>
      </c>
      <c r="F48" s="134" t="s">
        <v>127</v>
      </c>
      <c r="G48" s="51" t="s">
        <v>34</v>
      </c>
      <c r="H48" s="124">
        <v>1</v>
      </c>
      <c r="I48" s="125" t="s">
        <v>79</v>
      </c>
      <c r="J48" s="125" t="s">
        <v>79</v>
      </c>
      <c r="K48" s="125" t="s">
        <v>79</v>
      </c>
      <c r="L48" s="125" t="s">
        <v>79</v>
      </c>
      <c r="M48" s="56"/>
      <c r="N48" s="110"/>
      <c r="O48" s="126"/>
      <c r="P48" s="72"/>
      <c r="Q48" s="60">
        <f t="shared" si="9"/>
        <v>0</v>
      </c>
      <c r="R48" s="61">
        <f t="shared" si="6"/>
        <v>0</v>
      </c>
      <c r="S48" s="62">
        <f t="shared" si="0"/>
        <v>0</v>
      </c>
      <c r="T48" s="63"/>
      <c r="U48" s="64"/>
      <c r="V48" s="65"/>
      <c r="W48" s="61">
        <f t="shared" si="7"/>
        <v>0</v>
      </c>
      <c r="X48" s="66">
        <f t="shared" si="1"/>
        <v>0</v>
      </c>
      <c r="Y48" s="67">
        <f t="shared" si="2"/>
        <v>0</v>
      </c>
      <c r="Z48" s="68">
        <f>ROUNDDOWN(AA48,0)</f>
        <v>0</v>
      </c>
      <c r="AA48" s="69">
        <f t="shared" si="3"/>
        <v>0</v>
      </c>
      <c r="AB48" s="78"/>
      <c r="AC48" s="79"/>
    </row>
    <row r="49" spans="1:30" ht="70" customHeight="1">
      <c r="A49" s="120"/>
      <c r="B49" s="50">
        <f t="shared" si="4"/>
        <v>46</v>
      </c>
      <c r="C49" s="121" t="s">
        <v>110</v>
      </c>
      <c r="D49" s="50" t="s">
        <v>113</v>
      </c>
      <c r="E49" s="140">
        <v>70216915054</v>
      </c>
      <c r="F49" s="134" t="s">
        <v>128</v>
      </c>
      <c r="G49" s="51" t="s">
        <v>34</v>
      </c>
      <c r="H49" s="124">
        <v>1</v>
      </c>
      <c r="I49" s="125" t="s">
        <v>79</v>
      </c>
      <c r="J49" s="125" t="s">
        <v>79</v>
      </c>
      <c r="K49" s="125" t="s">
        <v>79</v>
      </c>
      <c r="L49" s="125" t="s">
        <v>79</v>
      </c>
      <c r="M49" s="56"/>
      <c r="N49" s="71"/>
      <c r="O49" s="141"/>
      <c r="P49" s="72"/>
      <c r="Q49" s="60">
        <f t="shared" si="9"/>
        <v>0</v>
      </c>
      <c r="R49" s="61">
        <f t="shared" si="6"/>
        <v>0</v>
      </c>
      <c r="S49" s="62">
        <f t="shared" si="0"/>
        <v>0</v>
      </c>
      <c r="T49" s="63"/>
      <c r="U49" s="64"/>
      <c r="V49" s="65"/>
      <c r="W49" s="61">
        <f t="shared" si="7"/>
        <v>0</v>
      </c>
      <c r="X49" s="66">
        <f t="shared" si="1"/>
        <v>0</v>
      </c>
      <c r="Y49" s="67">
        <f t="shared" si="2"/>
        <v>0</v>
      </c>
      <c r="Z49" s="68">
        <f t="shared" si="8"/>
        <v>0</v>
      </c>
      <c r="AA49" s="69">
        <f t="shared" si="3"/>
        <v>0</v>
      </c>
      <c r="AB49" s="78"/>
      <c r="AC49" s="79"/>
    </row>
    <row r="50" spans="1:30" ht="70" customHeight="1">
      <c r="A50" s="120"/>
      <c r="B50" s="50">
        <f t="shared" si="4"/>
        <v>47</v>
      </c>
      <c r="C50" s="121" t="s">
        <v>110</v>
      </c>
      <c r="D50" s="50" t="s">
        <v>113</v>
      </c>
      <c r="E50" s="140">
        <v>70216915055</v>
      </c>
      <c r="F50" s="142" t="s">
        <v>129</v>
      </c>
      <c r="G50" s="51" t="s">
        <v>34</v>
      </c>
      <c r="H50" s="135">
        <v>2</v>
      </c>
      <c r="I50" s="136" t="s">
        <v>79</v>
      </c>
      <c r="J50" s="136" t="s">
        <v>79</v>
      </c>
      <c r="K50" s="136" t="s">
        <v>79</v>
      </c>
      <c r="L50" s="136" t="s">
        <v>79</v>
      </c>
      <c r="M50" s="56"/>
      <c r="N50" s="71"/>
      <c r="O50" s="141"/>
      <c r="P50" s="72"/>
      <c r="Q50" s="60">
        <f t="shared" si="9"/>
        <v>0</v>
      </c>
      <c r="R50" s="61">
        <f t="shared" si="6"/>
        <v>0</v>
      </c>
      <c r="S50" s="62">
        <f t="shared" si="0"/>
        <v>0</v>
      </c>
      <c r="T50" s="138"/>
      <c r="U50" s="64"/>
      <c r="V50" s="139"/>
      <c r="W50" s="61">
        <f t="shared" si="7"/>
        <v>0</v>
      </c>
      <c r="X50" s="66">
        <f t="shared" si="1"/>
        <v>0</v>
      </c>
      <c r="Y50" s="67">
        <f t="shared" si="2"/>
        <v>0</v>
      </c>
      <c r="Z50" s="68">
        <f t="shared" si="8"/>
        <v>0</v>
      </c>
      <c r="AA50" s="69">
        <f t="shared" si="3"/>
        <v>0</v>
      </c>
      <c r="AB50" s="78"/>
      <c r="AC50" s="79"/>
    </row>
    <row r="51" spans="1:30" ht="70" customHeight="1">
      <c r="A51" s="120"/>
      <c r="B51" s="50">
        <f t="shared" si="4"/>
        <v>48</v>
      </c>
      <c r="C51" s="121" t="s">
        <v>110</v>
      </c>
      <c r="D51" s="50" t="s">
        <v>113</v>
      </c>
      <c r="E51" s="140">
        <v>70216915056</v>
      </c>
      <c r="F51" s="134" t="s">
        <v>130</v>
      </c>
      <c r="G51" s="51" t="s">
        <v>34</v>
      </c>
      <c r="H51" s="124">
        <v>3</v>
      </c>
      <c r="I51" s="125" t="s">
        <v>79</v>
      </c>
      <c r="J51" s="125" t="s">
        <v>79</v>
      </c>
      <c r="K51" s="125" t="s">
        <v>79</v>
      </c>
      <c r="L51" s="125" t="s">
        <v>79</v>
      </c>
      <c r="M51" s="56"/>
      <c r="N51" s="71"/>
      <c r="O51" s="141"/>
      <c r="P51" s="72"/>
      <c r="Q51" s="60">
        <f t="shared" si="9"/>
        <v>0</v>
      </c>
      <c r="R51" s="61">
        <f t="shared" si="6"/>
        <v>0</v>
      </c>
      <c r="S51" s="62">
        <f t="shared" si="0"/>
        <v>0</v>
      </c>
      <c r="T51" s="63"/>
      <c r="U51" s="64"/>
      <c r="V51" s="65"/>
      <c r="W51" s="61">
        <f>ROUNDDOWN(X51,0)</f>
        <v>0</v>
      </c>
      <c r="X51" s="66">
        <f t="shared" si="1"/>
        <v>0</v>
      </c>
      <c r="Y51" s="67">
        <f t="shared" si="2"/>
        <v>0</v>
      </c>
      <c r="Z51" s="68">
        <f t="shared" si="8"/>
        <v>0</v>
      </c>
      <c r="AA51" s="69">
        <f t="shared" si="3"/>
        <v>0</v>
      </c>
      <c r="AB51" s="78"/>
      <c r="AC51" s="79"/>
    </row>
    <row r="52" spans="1:30" ht="70" customHeight="1">
      <c r="A52" s="120"/>
      <c r="B52" s="50">
        <f t="shared" si="4"/>
        <v>49</v>
      </c>
      <c r="C52" s="121" t="s">
        <v>131</v>
      </c>
      <c r="D52" s="50" t="s">
        <v>132</v>
      </c>
      <c r="E52" s="122">
        <v>76679000072</v>
      </c>
      <c r="F52" s="123" t="s">
        <v>133</v>
      </c>
      <c r="G52" s="51" t="s">
        <v>34</v>
      </c>
      <c r="H52" s="124">
        <v>1</v>
      </c>
      <c r="I52" s="125">
        <v>24</v>
      </c>
      <c r="J52" s="125" t="s">
        <v>79</v>
      </c>
      <c r="K52" s="125" t="s">
        <v>79</v>
      </c>
      <c r="L52" s="125" t="s">
        <v>79</v>
      </c>
      <c r="M52" s="56"/>
      <c r="N52" s="110"/>
      <c r="O52" s="143"/>
      <c r="P52" s="72"/>
      <c r="Q52" s="60">
        <f t="shared" si="9"/>
        <v>0</v>
      </c>
      <c r="R52" s="61">
        <f t="shared" si="6"/>
        <v>0</v>
      </c>
      <c r="S52" s="62">
        <f t="shared" si="0"/>
        <v>0</v>
      </c>
      <c r="T52" s="63"/>
      <c r="U52" s="64"/>
      <c r="V52" s="65"/>
      <c r="W52" s="61">
        <f t="shared" ref="W52:W95" si="10">ROUNDDOWN(X52,0)</f>
        <v>0</v>
      </c>
      <c r="X52" s="66">
        <f t="shared" si="1"/>
        <v>0</v>
      </c>
      <c r="Y52" s="67">
        <f t="shared" si="2"/>
        <v>0</v>
      </c>
      <c r="Z52" s="68">
        <f t="shared" si="8"/>
        <v>0</v>
      </c>
      <c r="AA52" s="69">
        <f t="shared" si="3"/>
        <v>0</v>
      </c>
      <c r="AB52" s="78"/>
      <c r="AC52" s="79"/>
    </row>
    <row r="53" spans="1:30" ht="70" customHeight="1">
      <c r="A53" s="120"/>
      <c r="B53" s="50">
        <f t="shared" si="4"/>
        <v>50</v>
      </c>
      <c r="C53" s="121" t="s">
        <v>134</v>
      </c>
      <c r="D53" s="50" t="s">
        <v>135</v>
      </c>
      <c r="E53" s="122">
        <v>61466915001</v>
      </c>
      <c r="F53" s="123" t="s">
        <v>136</v>
      </c>
      <c r="G53" s="51" t="s">
        <v>34</v>
      </c>
      <c r="H53" s="124">
        <v>8</v>
      </c>
      <c r="I53" s="125" t="s">
        <v>79</v>
      </c>
      <c r="J53" s="125" t="s">
        <v>79</v>
      </c>
      <c r="K53" s="125" t="s">
        <v>79</v>
      </c>
      <c r="L53" s="125" t="s">
        <v>79</v>
      </c>
      <c r="M53" s="56"/>
      <c r="N53" s="110"/>
      <c r="O53" s="126"/>
      <c r="P53" s="59"/>
      <c r="Q53" s="60">
        <f t="shared" si="9"/>
        <v>0</v>
      </c>
      <c r="R53" s="61">
        <f t="shared" si="6"/>
        <v>0</v>
      </c>
      <c r="S53" s="62">
        <f t="shared" si="0"/>
        <v>0</v>
      </c>
      <c r="T53" s="63"/>
      <c r="U53" s="64"/>
      <c r="V53" s="65"/>
      <c r="W53" s="61">
        <f t="shared" si="10"/>
        <v>0</v>
      </c>
      <c r="X53" s="66">
        <f t="shared" si="1"/>
        <v>0</v>
      </c>
      <c r="Y53" s="67">
        <f t="shared" si="2"/>
        <v>0</v>
      </c>
      <c r="Z53" s="68">
        <f t="shared" si="8"/>
        <v>0</v>
      </c>
      <c r="AA53" s="69">
        <f t="shared" si="3"/>
        <v>0</v>
      </c>
      <c r="AB53" s="78"/>
      <c r="AC53" s="79"/>
    </row>
    <row r="54" spans="1:30" ht="70" customHeight="1">
      <c r="A54" s="120"/>
      <c r="B54" s="50">
        <f t="shared" si="4"/>
        <v>51</v>
      </c>
      <c r="C54" s="121" t="s">
        <v>134</v>
      </c>
      <c r="D54" s="50" t="s">
        <v>135</v>
      </c>
      <c r="E54" s="122" t="s">
        <v>137</v>
      </c>
      <c r="F54" s="123" t="s">
        <v>138</v>
      </c>
      <c r="G54" s="51" t="s">
        <v>34</v>
      </c>
      <c r="H54" s="124">
        <v>2</v>
      </c>
      <c r="I54" s="125" t="s">
        <v>79</v>
      </c>
      <c r="J54" s="125" t="s">
        <v>79</v>
      </c>
      <c r="K54" s="125" t="s">
        <v>79</v>
      </c>
      <c r="L54" s="125" t="s">
        <v>79</v>
      </c>
      <c r="M54" s="56"/>
      <c r="N54" s="110"/>
      <c r="O54" s="126"/>
      <c r="P54" s="59"/>
      <c r="Q54" s="60">
        <f t="shared" si="9"/>
        <v>0</v>
      </c>
      <c r="R54" s="61">
        <f t="shared" si="6"/>
        <v>0</v>
      </c>
      <c r="S54" s="62">
        <f t="shared" si="0"/>
        <v>0</v>
      </c>
      <c r="T54" s="63"/>
      <c r="U54" s="64"/>
      <c r="V54" s="65"/>
      <c r="W54" s="61">
        <f t="shared" si="10"/>
        <v>0</v>
      </c>
      <c r="X54" s="66">
        <f t="shared" si="1"/>
        <v>0</v>
      </c>
      <c r="Y54" s="67">
        <f t="shared" si="2"/>
        <v>0</v>
      </c>
      <c r="Z54" s="68">
        <f t="shared" si="8"/>
        <v>0</v>
      </c>
      <c r="AA54" s="69">
        <f t="shared" si="3"/>
        <v>0</v>
      </c>
      <c r="AB54" s="78"/>
      <c r="AC54" s="79"/>
    </row>
    <row r="55" spans="1:30" ht="70" customHeight="1" thickBot="1">
      <c r="A55" s="144"/>
      <c r="B55" s="81">
        <f t="shared" si="4"/>
        <v>52</v>
      </c>
      <c r="C55" s="145" t="s">
        <v>134</v>
      </c>
      <c r="D55" s="81" t="s">
        <v>135</v>
      </c>
      <c r="E55" s="146">
        <v>61466915003</v>
      </c>
      <c r="F55" s="147" t="s">
        <v>139</v>
      </c>
      <c r="G55" s="82" t="s">
        <v>34</v>
      </c>
      <c r="H55" s="148">
        <v>2</v>
      </c>
      <c r="I55" s="149" t="s">
        <v>79</v>
      </c>
      <c r="J55" s="149" t="s">
        <v>79</v>
      </c>
      <c r="K55" s="149" t="s">
        <v>79</v>
      </c>
      <c r="L55" s="149" t="s">
        <v>79</v>
      </c>
      <c r="M55" s="87"/>
      <c r="N55" s="110"/>
      <c r="O55" s="126"/>
      <c r="P55" s="90"/>
      <c r="Q55" s="91">
        <f t="shared" si="9"/>
        <v>0</v>
      </c>
      <c r="R55" s="92">
        <f t="shared" si="6"/>
        <v>0</v>
      </c>
      <c r="S55" s="93">
        <f t="shared" si="0"/>
        <v>0</v>
      </c>
      <c r="T55" s="94"/>
      <c r="U55" s="95"/>
      <c r="V55" s="96"/>
      <c r="W55" s="92">
        <f t="shared" si="10"/>
        <v>0</v>
      </c>
      <c r="X55" s="97">
        <f t="shared" si="1"/>
        <v>0</v>
      </c>
      <c r="Y55" s="98">
        <f t="shared" si="2"/>
        <v>0</v>
      </c>
      <c r="Z55" s="150">
        <f t="shared" si="8"/>
        <v>0</v>
      </c>
      <c r="AA55" s="151">
        <f t="shared" si="3"/>
        <v>0</v>
      </c>
      <c r="AB55" s="78"/>
      <c r="AC55" s="79"/>
    </row>
    <row r="56" spans="1:30" ht="70" customHeight="1" thickTop="1">
      <c r="A56" s="101" t="s">
        <v>140</v>
      </c>
      <c r="B56" s="152">
        <f t="shared" si="4"/>
        <v>53</v>
      </c>
      <c r="C56" s="153" t="s">
        <v>141</v>
      </c>
      <c r="D56" s="152" t="s">
        <v>142</v>
      </c>
      <c r="E56" s="154" t="s">
        <v>143</v>
      </c>
      <c r="F56" s="155" t="s">
        <v>144</v>
      </c>
      <c r="G56" s="156" t="s">
        <v>34</v>
      </c>
      <c r="H56" s="157">
        <v>22</v>
      </c>
      <c r="I56" s="158"/>
      <c r="J56" s="158"/>
      <c r="K56" s="158"/>
      <c r="L56" s="158"/>
      <c r="M56" s="159"/>
      <c r="N56" s="160"/>
      <c r="O56" s="161"/>
      <c r="P56" s="162"/>
      <c r="Q56" s="163">
        <f t="shared" si="9"/>
        <v>0</v>
      </c>
      <c r="R56" s="164">
        <f>ROUNDDOWN(S56,0)</f>
        <v>0</v>
      </c>
      <c r="S56" s="165">
        <f>Q56/H56</f>
        <v>0</v>
      </c>
      <c r="T56" s="166"/>
      <c r="U56" s="167"/>
      <c r="V56" s="168"/>
      <c r="W56" s="164">
        <f t="shared" si="10"/>
        <v>0</v>
      </c>
      <c r="X56" s="169">
        <f t="shared" si="1"/>
        <v>0</v>
      </c>
      <c r="Y56" s="170">
        <f t="shared" si="2"/>
        <v>0</v>
      </c>
      <c r="Z56" s="171">
        <f t="shared" si="8"/>
        <v>0</v>
      </c>
      <c r="AA56" s="172">
        <f t="shared" si="3"/>
        <v>0</v>
      </c>
      <c r="AB56" s="78"/>
      <c r="AC56" s="79"/>
    </row>
    <row r="57" spans="1:30" ht="70" customHeight="1">
      <c r="A57" s="120"/>
      <c r="B57" s="50">
        <f t="shared" si="4"/>
        <v>54</v>
      </c>
      <c r="C57" s="121" t="s">
        <v>141</v>
      </c>
      <c r="D57" s="50" t="s">
        <v>145</v>
      </c>
      <c r="E57" s="122" t="s">
        <v>146</v>
      </c>
      <c r="F57" s="123" t="s">
        <v>147</v>
      </c>
      <c r="G57" s="51" t="s">
        <v>34</v>
      </c>
      <c r="H57" s="124">
        <v>6</v>
      </c>
      <c r="I57" s="125"/>
      <c r="J57" s="125"/>
      <c r="K57" s="125"/>
      <c r="L57" s="125"/>
      <c r="M57" s="56"/>
      <c r="N57" s="57"/>
      <c r="O57" s="58"/>
      <c r="P57" s="72"/>
      <c r="Q57" s="173">
        <f t="shared" si="9"/>
        <v>0</v>
      </c>
      <c r="R57" s="61">
        <f t="shared" ref="R57:R95" si="11">ROUNDDOWN(S57,0)</f>
        <v>0</v>
      </c>
      <c r="S57" s="174">
        <f t="shared" ref="S57:S95" si="12">Q57/H57</f>
        <v>0</v>
      </c>
      <c r="T57" s="63"/>
      <c r="U57" s="175"/>
      <c r="V57" s="65"/>
      <c r="W57" s="61">
        <f t="shared" si="10"/>
        <v>0</v>
      </c>
      <c r="X57" s="176">
        <f t="shared" si="1"/>
        <v>0</v>
      </c>
      <c r="Y57" s="67">
        <f t="shared" si="2"/>
        <v>0</v>
      </c>
      <c r="Z57" s="177">
        <f t="shared" si="8"/>
        <v>0</v>
      </c>
      <c r="AA57" s="69">
        <f t="shared" si="3"/>
        <v>0</v>
      </c>
      <c r="AB57" s="78"/>
      <c r="AC57" s="79"/>
      <c r="AD57" s="13" t="s">
        <v>148</v>
      </c>
    </row>
    <row r="58" spans="1:30" ht="70" customHeight="1">
      <c r="A58" s="120"/>
      <c r="B58" s="50">
        <f t="shared" si="4"/>
        <v>55</v>
      </c>
      <c r="C58" s="121" t="s">
        <v>141</v>
      </c>
      <c r="D58" s="50" t="s">
        <v>149</v>
      </c>
      <c r="E58" s="122" t="s">
        <v>150</v>
      </c>
      <c r="F58" s="123" t="s">
        <v>151</v>
      </c>
      <c r="G58" s="51" t="s">
        <v>34</v>
      </c>
      <c r="H58" s="124">
        <v>6</v>
      </c>
      <c r="I58" s="125"/>
      <c r="J58" s="125"/>
      <c r="K58" s="125"/>
      <c r="L58" s="125"/>
      <c r="M58" s="56"/>
      <c r="N58" s="57"/>
      <c r="O58" s="58"/>
      <c r="P58" s="72"/>
      <c r="Q58" s="173">
        <f t="shared" si="9"/>
        <v>0</v>
      </c>
      <c r="R58" s="61">
        <f t="shared" si="11"/>
        <v>0</v>
      </c>
      <c r="S58" s="174">
        <f t="shared" si="12"/>
        <v>0</v>
      </c>
      <c r="T58" s="63"/>
      <c r="U58" s="175"/>
      <c r="V58" s="65"/>
      <c r="W58" s="61">
        <f t="shared" si="10"/>
        <v>0</v>
      </c>
      <c r="X58" s="176">
        <f t="shared" si="1"/>
        <v>0</v>
      </c>
      <c r="Y58" s="67">
        <f t="shared" si="2"/>
        <v>0</v>
      </c>
      <c r="Z58" s="177">
        <f t="shared" si="8"/>
        <v>0</v>
      </c>
      <c r="AA58" s="69">
        <f t="shared" si="3"/>
        <v>0</v>
      </c>
      <c r="AB58" s="78"/>
      <c r="AC58" s="79"/>
    </row>
    <row r="59" spans="1:30" ht="70" customHeight="1">
      <c r="A59" s="120"/>
      <c r="B59" s="50">
        <f t="shared" si="4"/>
        <v>56</v>
      </c>
      <c r="C59" s="121" t="s">
        <v>141</v>
      </c>
      <c r="D59" s="50" t="s">
        <v>152</v>
      </c>
      <c r="E59" s="122" t="s">
        <v>153</v>
      </c>
      <c r="F59" s="123" t="s">
        <v>154</v>
      </c>
      <c r="G59" s="51" t="s">
        <v>34</v>
      </c>
      <c r="H59" s="124">
        <v>5</v>
      </c>
      <c r="I59" s="125"/>
      <c r="J59" s="125"/>
      <c r="K59" s="125"/>
      <c r="L59" s="125"/>
      <c r="M59" s="56"/>
      <c r="N59" s="57"/>
      <c r="O59" s="58"/>
      <c r="P59" s="72"/>
      <c r="Q59" s="173">
        <f t="shared" si="9"/>
        <v>0</v>
      </c>
      <c r="R59" s="61">
        <f t="shared" si="11"/>
        <v>0</v>
      </c>
      <c r="S59" s="174">
        <f t="shared" si="12"/>
        <v>0</v>
      </c>
      <c r="T59" s="63"/>
      <c r="U59" s="175"/>
      <c r="V59" s="65"/>
      <c r="W59" s="61">
        <f t="shared" si="10"/>
        <v>0</v>
      </c>
      <c r="X59" s="176">
        <f t="shared" si="1"/>
        <v>0</v>
      </c>
      <c r="Y59" s="67">
        <f t="shared" si="2"/>
        <v>0</v>
      </c>
      <c r="Z59" s="177">
        <f t="shared" si="8"/>
        <v>0</v>
      </c>
      <c r="AA59" s="69">
        <f t="shared" si="3"/>
        <v>0</v>
      </c>
      <c r="AB59" s="78"/>
      <c r="AC59" s="79"/>
    </row>
    <row r="60" spans="1:30" ht="70" customHeight="1">
      <c r="A60" s="120"/>
      <c r="B60" s="50">
        <f t="shared" si="4"/>
        <v>57</v>
      </c>
      <c r="C60" s="121" t="s">
        <v>141</v>
      </c>
      <c r="D60" s="50" t="s">
        <v>155</v>
      </c>
      <c r="E60" s="122" t="s">
        <v>156</v>
      </c>
      <c r="F60" s="123" t="s">
        <v>157</v>
      </c>
      <c r="G60" s="51" t="s">
        <v>34</v>
      </c>
      <c r="H60" s="124">
        <v>49</v>
      </c>
      <c r="I60" s="125"/>
      <c r="J60" s="125"/>
      <c r="K60" s="125"/>
      <c r="L60" s="125"/>
      <c r="M60" s="56"/>
      <c r="N60" s="57"/>
      <c r="O60" s="58"/>
      <c r="P60" s="72"/>
      <c r="Q60" s="173">
        <f t="shared" si="9"/>
        <v>0</v>
      </c>
      <c r="R60" s="61">
        <f t="shared" si="11"/>
        <v>0</v>
      </c>
      <c r="S60" s="174">
        <f t="shared" si="12"/>
        <v>0</v>
      </c>
      <c r="T60" s="63"/>
      <c r="U60" s="175"/>
      <c r="V60" s="65"/>
      <c r="W60" s="61">
        <f t="shared" si="10"/>
        <v>0</v>
      </c>
      <c r="X60" s="176">
        <f t="shared" si="1"/>
        <v>0</v>
      </c>
      <c r="Y60" s="67">
        <f t="shared" si="2"/>
        <v>0</v>
      </c>
      <c r="Z60" s="177">
        <f t="shared" si="8"/>
        <v>0</v>
      </c>
      <c r="AA60" s="69">
        <f t="shared" si="3"/>
        <v>0</v>
      </c>
      <c r="AB60" s="78"/>
      <c r="AC60" s="79"/>
    </row>
    <row r="61" spans="1:30" ht="70" customHeight="1">
      <c r="A61" s="120"/>
      <c r="B61" s="50">
        <f t="shared" si="4"/>
        <v>58</v>
      </c>
      <c r="C61" s="121" t="s">
        <v>141</v>
      </c>
      <c r="D61" s="50" t="s">
        <v>155</v>
      </c>
      <c r="E61" s="122" t="s">
        <v>158</v>
      </c>
      <c r="F61" s="123" t="s">
        <v>159</v>
      </c>
      <c r="G61" s="51" t="s">
        <v>34</v>
      </c>
      <c r="H61" s="124">
        <v>7</v>
      </c>
      <c r="I61" s="125"/>
      <c r="J61" s="125"/>
      <c r="K61" s="125"/>
      <c r="L61" s="125"/>
      <c r="M61" s="56"/>
      <c r="N61" s="57"/>
      <c r="O61" s="58"/>
      <c r="P61" s="72"/>
      <c r="Q61" s="173">
        <f t="shared" si="9"/>
        <v>0</v>
      </c>
      <c r="R61" s="61">
        <f t="shared" si="11"/>
        <v>0</v>
      </c>
      <c r="S61" s="174">
        <f t="shared" si="12"/>
        <v>0</v>
      </c>
      <c r="T61" s="63"/>
      <c r="U61" s="175"/>
      <c r="V61" s="65"/>
      <c r="W61" s="61">
        <f t="shared" si="10"/>
        <v>0</v>
      </c>
      <c r="X61" s="176">
        <f t="shared" si="1"/>
        <v>0</v>
      </c>
      <c r="Y61" s="67">
        <f t="shared" si="2"/>
        <v>0</v>
      </c>
      <c r="Z61" s="177">
        <f t="shared" si="8"/>
        <v>0</v>
      </c>
      <c r="AA61" s="69">
        <f t="shared" si="3"/>
        <v>0</v>
      </c>
      <c r="AB61" s="78"/>
      <c r="AC61" s="79"/>
    </row>
    <row r="62" spans="1:30" ht="70" customHeight="1">
      <c r="A62" s="120"/>
      <c r="B62" s="50">
        <f t="shared" si="4"/>
        <v>59</v>
      </c>
      <c r="C62" s="121" t="s">
        <v>141</v>
      </c>
      <c r="D62" s="50" t="s">
        <v>160</v>
      </c>
      <c r="E62" s="122" t="s">
        <v>161</v>
      </c>
      <c r="F62" s="123" t="s">
        <v>162</v>
      </c>
      <c r="G62" s="51" t="s">
        <v>34</v>
      </c>
      <c r="H62" s="124">
        <v>2</v>
      </c>
      <c r="I62" s="125"/>
      <c r="J62" s="125"/>
      <c r="K62" s="125"/>
      <c r="L62" s="125"/>
      <c r="M62" s="56"/>
      <c r="N62" s="57"/>
      <c r="O62" s="58"/>
      <c r="P62" s="72"/>
      <c r="Q62" s="173">
        <f t="shared" si="9"/>
        <v>0</v>
      </c>
      <c r="R62" s="61">
        <f t="shared" si="11"/>
        <v>0</v>
      </c>
      <c r="S62" s="174">
        <f t="shared" si="12"/>
        <v>0</v>
      </c>
      <c r="T62" s="63"/>
      <c r="U62" s="175"/>
      <c r="V62" s="65"/>
      <c r="W62" s="61">
        <f t="shared" si="10"/>
        <v>0</v>
      </c>
      <c r="X62" s="176">
        <f t="shared" si="1"/>
        <v>0</v>
      </c>
      <c r="Y62" s="67">
        <f t="shared" si="2"/>
        <v>0</v>
      </c>
      <c r="Z62" s="177">
        <f t="shared" si="8"/>
        <v>0</v>
      </c>
      <c r="AA62" s="69">
        <f t="shared" si="3"/>
        <v>0</v>
      </c>
      <c r="AB62" s="78"/>
      <c r="AC62" s="79"/>
    </row>
    <row r="63" spans="1:30" ht="70" customHeight="1">
      <c r="A63" s="120"/>
      <c r="B63" s="50">
        <f t="shared" si="4"/>
        <v>60</v>
      </c>
      <c r="C63" s="121" t="s">
        <v>141</v>
      </c>
      <c r="D63" s="50" t="s">
        <v>155</v>
      </c>
      <c r="E63" s="122" t="s">
        <v>163</v>
      </c>
      <c r="F63" s="123" t="s">
        <v>164</v>
      </c>
      <c r="G63" s="51" t="s">
        <v>34</v>
      </c>
      <c r="H63" s="124">
        <v>1</v>
      </c>
      <c r="I63" s="125"/>
      <c r="J63" s="125"/>
      <c r="K63" s="125"/>
      <c r="L63" s="125"/>
      <c r="M63" s="56"/>
      <c r="N63" s="57"/>
      <c r="O63" s="58"/>
      <c r="P63" s="72"/>
      <c r="Q63" s="173">
        <f t="shared" si="9"/>
        <v>0</v>
      </c>
      <c r="R63" s="61">
        <f t="shared" si="11"/>
        <v>0</v>
      </c>
      <c r="S63" s="174">
        <f t="shared" si="12"/>
        <v>0</v>
      </c>
      <c r="T63" s="63"/>
      <c r="U63" s="175"/>
      <c r="V63" s="65"/>
      <c r="W63" s="61">
        <f t="shared" si="10"/>
        <v>0</v>
      </c>
      <c r="X63" s="176">
        <f t="shared" si="1"/>
        <v>0</v>
      </c>
      <c r="Y63" s="67">
        <f t="shared" si="2"/>
        <v>0</v>
      </c>
      <c r="Z63" s="177">
        <f t="shared" si="8"/>
        <v>0</v>
      </c>
      <c r="AA63" s="69">
        <f t="shared" si="3"/>
        <v>0</v>
      </c>
      <c r="AB63" s="78"/>
      <c r="AC63" s="79"/>
    </row>
    <row r="64" spans="1:30" ht="70" customHeight="1">
      <c r="A64" s="120"/>
      <c r="B64" s="50">
        <f t="shared" si="4"/>
        <v>61</v>
      </c>
      <c r="C64" s="121" t="s">
        <v>141</v>
      </c>
      <c r="D64" s="50" t="s">
        <v>160</v>
      </c>
      <c r="E64" s="122" t="s">
        <v>165</v>
      </c>
      <c r="F64" s="123" t="s">
        <v>166</v>
      </c>
      <c r="G64" s="51" t="s">
        <v>34</v>
      </c>
      <c r="H64" s="124">
        <v>6</v>
      </c>
      <c r="I64" s="125"/>
      <c r="J64" s="125"/>
      <c r="K64" s="125"/>
      <c r="L64" s="125"/>
      <c r="M64" s="56"/>
      <c r="N64" s="57"/>
      <c r="O64" s="58"/>
      <c r="P64" s="72"/>
      <c r="Q64" s="173">
        <f t="shared" si="9"/>
        <v>0</v>
      </c>
      <c r="R64" s="61">
        <f t="shared" si="11"/>
        <v>0</v>
      </c>
      <c r="S64" s="174">
        <f t="shared" si="12"/>
        <v>0</v>
      </c>
      <c r="T64" s="63"/>
      <c r="U64" s="175"/>
      <c r="V64" s="65"/>
      <c r="W64" s="61">
        <f t="shared" si="10"/>
        <v>0</v>
      </c>
      <c r="X64" s="176">
        <f t="shared" si="1"/>
        <v>0</v>
      </c>
      <c r="Y64" s="67">
        <f t="shared" si="2"/>
        <v>0</v>
      </c>
      <c r="Z64" s="177">
        <f t="shared" si="8"/>
        <v>0</v>
      </c>
      <c r="AA64" s="69">
        <f t="shared" si="3"/>
        <v>0</v>
      </c>
      <c r="AB64" s="78"/>
      <c r="AC64" s="79"/>
    </row>
    <row r="65" spans="1:29" ht="70" customHeight="1">
      <c r="A65" s="120"/>
      <c r="B65" s="50">
        <f t="shared" si="4"/>
        <v>62</v>
      </c>
      <c r="C65" s="121" t="s">
        <v>141</v>
      </c>
      <c r="D65" s="50" t="s">
        <v>167</v>
      </c>
      <c r="E65" s="122">
        <v>1210003</v>
      </c>
      <c r="F65" s="123" t="s">
        <v>168</v>
      </c>
      <c r="G65" s="51" t="s">
        <v>34</v>
      </c>
      <c r="H65" s="124">
        <v>2</v>
      </c>
      <c r="I65" s="125"/>
      <c r="J65" s="125"/>
      <c r="K65" s="125"/>
      <c r="L65" s="125"/>
      <c r="M65" s="56"/>
      <c r="N65" s="57"/>
      <c r="O65" s="58"/>
      <c r="P65" s="72"/>
      <c r="Q65" s="173">
        <f t="shared" si="9"/>
        <v>0</v>
      </c>
      <c r="R65" s="61">
        <f t="shared" si="11"/>
        <v>0</v>
      </c>
      <c r="S65" s="174">
        <f t="shared" si="12"/>
        <v>0</v>
      </c>
      <c r="T65" s="63"/>
      <c r="U65" s="175"/>
      <c r="V65" s="65"/>
      <c r="W65" s="61">
        <f t="shared" si="10"/>
        <v>0</v>
      </c>
      <c r="X65" s="176">
        <f t="shared" si="1"/>
        <v>0</v>
      </c>
      <c r="Y65" s="67">
        <f t="shared" si="2"/>
        <v>0</v>
      </c>
      <c r="Z65" s="177">
        <f t="shared" si="8"/>
        <v>0</v>
      </c>
      <c r="AA65" s="69">
        <f t="shared" si="3"/>
        <v>0</v>
      </c>
      <c r="AB65" s="78"/>
      <c r="AC65" s="79"/>
    </row>
    <row r="66" spans="1:29" ht="70" customHeight="1">
      <c r="A66" s="120"/>
      <c r="B66" s="50">
        <f t="shared" si="4"/>
        <v>63</v>
      </c>
      <c r="C66" s="121" t="s">
        <v>141</v>
      </c>
      <c r="D66" s="50" t="s">
        <v>169</v>
      </c>
      <c r="E66" s="122">
        <v>1210002</v>
      </c>
      <c r="F66" s="123" t="s">
        <v>170</v>
      </c>
      <c r="G66" s="51" t="s">
        <v>34</v>
      </c>
      <c r="H66" s="124">
        <v>2</v>
      </c>
      <c r="I66" s="125"/>
      <c r="J66" s="125"/>
      <c r="K66" s="125"/>
      <c r="L66" s="125"/>
      <c r="M66" s="56"/>
      <c r="N66" s="57"/>
      <c r="O66" s="58"/>
      <c r="P66" s="72"/>
      <c r="Q66" s="173">
        <f t="shared" si="9"/>
        <v>0</v>
      </c>
      <c r="R66" s="61">
        <f t="shared" si="11"/>
        <v>0</v>
      </c>
      <c r="S66" s="174">
        <f t="shared" si="12"/>
        <v>0</v>
      </c>
      <c r="T66" s="63"/>
      <c r="U66" s="175"/>
      <c r="V66" s="65"/>
      <c r="W66" s="61">
        <f t="shared" si="10"/>
        <v>0</v>
      </c>
      <c r="X66" s="176">
        <f t="shared" si="1"/>
        <v>0</v>
      </c>
      <c r="Y66" s="67">
        <f t="shared" si="2"/>
        <v>0</v>
      </c>
      <c r="Z66" s="177">
        <f t="shared" si="8"/>
        <v>0</v>
      </c>
      <c r="AA66" s="69">
        <f t="shared" si="3"/>
        <v>0</v>
      </c>
      <c r="AB66" s="78"/>
      <c r="AC66" s="79"/>
    </row>
    <row r="67" spans="1:29" ht="70" customHeight="1">
      <c r="A67" s="120"/>
      <c r="B67" s="50">
        <f t="shared" si="4"/>
        <v>64</v>
      </c>
      <c r="C67" s="121" t="s">
        <v>141</v>
      </c>
      <c r="D67" s="50" t="s">
        <v>171</v>
      </c>
      <c r="E67" s="122" t="s">
        <v>172</v>
      </c>
      <c r="F67" s="123" t="s">
        <v>173</v>
      </c>
      <c r="G67" s="51" t="s">
        <v>34</v>
      </c>
      <c r="H67" s="124">
        <v>3</v>
      </c>
      <c r="I67" s="125"/>
      <c r="J67" s="125"/>
      <c r="K67" s="125"/>
      <c r="L67" s="125"/>
      <c r="M67" s="56"/>
      <c r="N67" s="57"/>
      <c r="O67" s="58"/>
      <c r="P67" s="72"/>
      <c r="Q67" s="173">
        <f t="shared" si="9"/>
        <v>0</v>
      </c>
      <c r="R67" s="61">
        <f t="shared" si="11"/>
        <v>0</v>
      </c>
      <c r="S67" s="174">
        <f t="shared" si="12"/>
        <v>0</v>
      </c>
      <c r="T67" s="63"/>
      <c r="U67" s="175"/>
      <c r="V67" s="65"/>
      <c r="W67" s="61">
        <f t="shared" si="10"/>
        <v>0</v>
      </c>
      <c r="X67" s="176">
        <f t="shared" si="1"/>
        <v>0</v>
      </c>
      <c r="Y67" s="67">
        <f t="shared" si="2"/>
        <v>0</v>
      </c>
      <c r="Z67" s="177">
        <f t="shared" si="8"/>
        <v>0</v>
      </c>
      <c r="AA67" s="69">
        <f t="shared" si="3"/>
        <v>0</v>
      </c>
      <c r="AB67" s="78"/>
      <c r="AC67" s="79"/>
    </row>
    <row r="68" spans="1:29" ht="70" customHeight="1">
      <c r="A68" s="120"/>
      <c r="B68" s="50">
        <f t="shared" si="4"/>
        <v>65</v>
      </c>
      <c r="C68" s="121" t="s">
        <v>141</v>
      </c>
      <c r="D68" s="50" t="s">
        <v>155</v>
      </c>
      <c r="E68" s="122" t="s">
        <v>174</v>
      </c>
      <c r="F68" s="123" t="s">
        <v>175</v>
      </c>
      <c r="G68" s="51" t="s">
        <v>34</v>
      </c>
      <c r="H68" s="124">
        <v>2</v>
      </c>
      <c r="I68" s="125"/>
      <c r="J68" s="125"/>
      <c r="K68" s="125"/>
      <c r="L68" s="125"/>
      <c r="M68" s="56"/>
      <c r="N68" s="57"/>
      <c r="O68" s="58"/>
      <c r="P68" s="72"/>
      <c r="Q68" s="173">
        <f t="shared" si="9"/>
        <v>0</v>
      </c>
      <c r="R68" s="61">
        <f t="shared" si="11"/>
        <v>0</v>
      </c>
      <c r="S68" s="174">
        <f t="shared" si="12"/>
        <v>0</v>
      </c>
      <c r="T68" s="63"/>
      <c r="U68" s="175"/>
      <c r="V68" s="65"/>
      <c r="W68" s="61">
        <f t="shared" si="10"/>
        <v>0</v>
      </c>
      <c r="X68" s="176">
        <f t="shared" ref="X68:X95" si="13">(T68+U68+V68)/H68</f>
        <v>0</v>
      </c>
      <c r="Y68" s="67">
        <f t="shared" ref="Y68:Y95" si="14">Q68+T68+V68+U68</f>
        <v>0</v>
      </c>
      <c r="Z68" s="177">
        <f t="shared" si="8"/>
        <v>0</v>
      </c>
      <c r="AA68" s="69">
        <f t="shared" ref="AA68:AA95" si="15">ROUNDDOWN(S68+X68,0)</f>
        <v>0</v>
      </c>
      <c r="AB68" s="78"/>
      <c r="AC68" s="79"/>
    </row>
    <row r="69" spans="1:29" ht="70" customHeight="1">
      <c r="A69" s="120"/>
      <c r="B69" s="50">
        <f t="shared" ref="B69:B95" si="16">ROW()-3</f>
        <v>66</v>
      </c>
      <c r="C69" s="121" t="s">
        <v>141</v>
      </c>
      <c r="D69" s="50" t="s">
        <v>176</v>
      </c>
      <c r="E69" s="122" t="s">
        <v>177</v>
      </c>
      <c r="F69" s="123" t="s">
        <v>178</v>
      </c>
      <c r="G69" s="51" t="s">
        <v>34</v>
      </c>
      <c r="H69" s="124">
        <v>8</v>
      </c>
      <c r="I69" s="125"/>
      <c r="J69" s="125"/>
      <c r="K69" s="125"/>
      <c r="L69" s="125"/>
      <c r="M69" s="56"/>
      <c r="N69" s="57"/>
      <c r="O69" s="58"/>
      <c r="P69" s="72"/>
      <c r="Q69" s="173">
        <f t="shared" si="9"/>
        <v>0</v>
      </c>
      <c r="R69" s="61">
        <f t="shared" si="11"/>
        <v>0</v>
      </c>
      <c r="S69" s="174">
        <f t="shared" si="12"/>
        <v>0</v>
      </c>
      <c r="T69" s="63"/>
      <c r="U69" s="175"/>
      <c r="V69" s="65"/>
      <c r="W69" s="61">
        <f t="shared" si="10"/>
        <v>0</v>
      </c>
      <c r="X69" s="176">
        <f t="shared" si="13"/>
        <v>0</v>
      </c>
      <c r="Y69" s="67">
        <f t="shared" si="14"/>
        <v>0</v>
      </c>
      <c r="Z69" s="177">
        <f t="shared" ref="Z69:Z95" si="17">ROUNDDOWN(AA69,0)</f>
        <v>0</v>
      </c>
      <c r="AA69" s="69">
        <f t="shared" si="15"/>
        <v>0</v>
      </c>
      <c r="AB69" s="78"/>
      <c r="AC69" s="79"/>
    </row>
    <row r="70" spans="1:29" ht="70" customHeight="1">
      <c r="A70" s="120"/>
      <c r="B70" s="50">
        <f t="shared" si="16"/>
        <v>67</v>
      </c>
      <c r="C70" s="121" t="s">
        <v>141</v>
      </c>
      <c r="D70" s="50" t="s">
        <v>179</v>
      </c>
      <c r="E70" s="122" t="s">
        <v>180</v>
      </c>
      <c r="F70" s="123" t="s">
        <v>181</v>
      </c>
      <c r="G70" s="51" t="s">
        <v>34</v>
      </c>
      <c r="H70" s="124">
        <v>17</v>
      </c>
      <c r="I70" s="125"/>
      <c r="J70" s="125"/>
      <c r="K70" s="125"/>
      <c r="L70" s="125"/>
      <c r="M70" s="56"/>
      <c r="N70" s="57"/>
      <c r="O70" s="58"/>
      <c r="P70" s="72"/>
      <c r="Q70" s="173">
        <f t="shared" si="9"/>
        <v>0</v>
      </c>
      <c r="R70" s="61">
        <f t="shared" si="11"/>
        <v>0</v>
      </c>
      <c r="S70" s="174">
        <f t="shared" si="12"/>
        <v>0</v>
      </c>
      <c r="T70" s="63"/>
      <c r="U70" s="175"/>
      <c r="V70" s="65"/>
      <c r="W70" s="61">
        <f t="shared" si="10"/>
        <v>0</v>
      </c>
      <c r="X70" s="176">
        <f t="shared" si="13"/>
        <v>0</v>
      </c>
      <c r="Y70" s="67">
        <f t="shared" si="14"/>
        <v>0</v>
      </c>
      <c r="Z70" s="177">
        <f>ROUNDDOWN(AA70,0)</f>
        <v>0</v>
      </c>
      <c r="AA70" s="69">
        <f t="shared" si="15"/>
        <v>0</v>
      </c>
      <c r="AB70" s="78"/>
      <c r="AC70" s="79"/>
    </row>
    <row r="71" spans="1:29" ht="70" customHeight="1">
      <c r="A71" s="120"/>
      <c r="B71" s="50">
        <f t="shared" si="16"/>
        <v>68</v>
      </c>
      <c r="C71" s="121" t="s">
        <v>141</v>
      </c>
      <c r="D71" s="50" t="s">
        <v>182</v>
      </c>
      <c r="E71" s="122" t="s">
        <v>183</v>
      </c>
      <c r="F71" s="123" t="s">
        <v>184</v>
      </c>
      <c r="G71" s="51" t="s">
        <v>34</v>
      </c>
      <c r="H71" s="124">
        <v>29</v>
      </c>
      <c r="I71" s="125"/>
      <c r="J71" s="125"/>
      <c r="K71" s="125"/>
      <c r="L71" s="125"/>
      <c r="M71" s="56"/>
      <c r="N71" s="57"/>
      <c r="O71" s="58"/>
      <c r="P71" s="72"/>
      <c r="Q71" s="173">
        <f t="shared" si="9"/>
        <v>0</v>
      </c>
      <c r="R71" s="61">
        <f t="shared" si="11"/>
        <v>0</v>
      </c>
      <c r="S71" s="174">
        <f t="shared" si="12"/>
        <v>0</v>
      </c>
      <c r="T71" s="63"/>
      <c r="U71" s="175"/>
      <c r="V71" s="65"/>
      <c r="W71" s="61">
        <f t="shared" si="10"/>
        <v>0</v>
      </c>
      <c r="X71" s="176">
        <f t="shared" si="13"/>
        <v>0</v>
      </c>
      <c r="Y71" s="67">
        <f t="shared" si="14"/>
        <v>0</v>
      </c>
      <c r="Z71" s="177">
        <f t="shared" si="17"/>
        <v>0</v>
      </c>
      <c r="AA71" s="69">
        <f t="shared" si="15"/>
        <v>0</v>
      </c>
      <c r="AB71" s="78"/>
      <c r="AC71" s="79"/>
    </row>
    <row r="72" spans="1:29" ht="70" customHeight="1">
      <c r="A72" s="120"/>
      <c r="B72" s="50">
        <f t="shared" si="16"/>
        <v>69</v>
      </c>
      <c r="C72" s="121" t="s">
        <v>141</v>
      </c>
      <c r="D72" s="50" t="s">
        <v>182</v>
      </c>
      <c r="E72" s="122" t="s">
        <v>185</v>
      </c>
      <c r="F72" s="123" t="s">
        <v>186</v>
      </c>
      <c r="G72" s="51" t="s">
        <v>34</v>
      </c>
      <c r="H72" s="124">
        <v>8</v>
      </c>
      <c r="I72" s="125"/>
      <c r="J72" s="125"/>
      <c r="K72" s="125"/>
      <c r="L72" s="125"/>
      <c r="M72" s="56"/>
      <c r="N72" s="57"/>
      <c r="O72" s="58"/>
      <c r="P72" s="72"/>
      <c r="Q72" s="173">
        <f t="shared" si="9"/>
        <v>0</v>
      </c>
      <c r="R72" s="61">
        <f t="shared" si="11"/>
        <v>0</v>
      </c>
      <c r="S72" s="174">
        <f t="shared" si="12"/>
        <v>0</v>
      </c>
      <c r="T72" s="63"/>
      <c r="U72" s="175"/>
      <c r="V72" s="65"/>
      <c r="W72" s="61">
        <f t="shared" si="10"/>
        <v>0</v>
      </c>
      <c r="X72" s="176">
        <f t="shared" si="13"/>
        <v>0</v>
      </c>
      <c r="Y72" s="67">
        <f t="shared" si="14"/>
        <v>0</v>
      </c>
      <c r="Z72" s="177">
        <f t="shared" si="17"/>
        <v>0</v>
      </c>
      <c r="AA72" s="69">
        <f t="shared" si="15"/>
        <v>0</v>
      </c>
      <c r="AB72" s="78"/>
      <c r="AC72" s="79"/>
    </row>
    <row r="73" spans="1:29" ht="70" customHeight="1">
      <c r="A73" s="120"/>
      <c r="B73" s="50">
        <f t="shared" si="16"/>
        <v>70</v>
      </c>
      <c r="C73" s="121" t="s">
        <v>141</v>
      </c>
      <c r="D73" s="50" t="s">
        <v>187</v>
      </c>
      <c r="E73" s="122" t="s">
        <v>188</v>
      </c>
      <c r="F73" s="123" t="s">
        <v>189</v>
      </c>
      <c r="G73" s="51" t="s">
        <v>34</v>
      </c>
      <c r="H73" s="124">
        <v>7</v>
      </c>
      <c r="I73" s="125"/>
      <c r="J73" s="125"/>
      <c r="K73" s="125"/>
      <c r="L73" s="125"/>
      <c r="M73" s="56"/>
      <c r="N73" s="57"/>
      <c r="O73" s="58"/>
      <c r="P73" s="72"/>
      <c r="Q73" s="173">
        <f t="shared" si="9"/>
        <v>0</v>
      </c>
      <c r="R73" s="61">
        <f t="shared" si="11"/>
        <v>0</v>
      </c>
      <c r="S73" s="174">
        <f t="shared" si="12"/>
        <v>0</v>
      </c>
      <c r="T73" s="63"/>
      <c r="U73" s="175"/>
      <c r="V73" s="65"/>
      <c r="W73" s="61">
        <f t="shared" si="10"/>
        <v>0</v>
      </c>
      <c r="X73" s="176">
        <f t="shared" si="13"/>
        <v>0</v>
      </c>
      <c r="Y73" s="67">
        <f t="shared" si="14"/>
        <v>0</v>
      </c>
      <c r="Z73" s="177">
        <f t="shared" si="17"/>
        <v>0</v>
      </c>
      <c r="AA73" s="69">
        <f t="shared" si="15"/>
        <v>0</v>
      </c>
      <c r="AB73" s="78"/>
      <c r="AC73" s="79"/>
    </row>
    <row r="74" spans="1:29" ht="70" customHeight="1">
      <c r="A74" s="120"/>
      <c r="B74" s="50">
        <f t="shared" si="16"/>
        <v>71</v>
      </c>
      <c r="C74" s="121" t="s">
        <v>141</v>
      </c>
      <c r="D74" s="50" t="s">
        <v>190</v>
      </c>
      <c r="E74" s="122" t="s">
        <v>191</v>
      </c>
      <c r="F74" s="123" t="s">
        <v>192</v>
      </c>
      <c r="G74" s="51" t="s">
        <v>34</v>
      </c>
      <c r="H74" s="124">
        <v>7</v>
      </c>
      <c r="I74" s="125"/>
      <c r="J74" s="125"/>
      <c r="K74" s="125"/>
      <c r="L74" s="125"/>
      <c r="M74" s="56"/>
      <c r="N74" s="57"/>
      <c r="O74" s="58"/>
      <c r="P74" s="72"/>
      <c r="Q74" s="173">
        <f t="shared" si="9"/>
        <v>0</v>
      </c>
      <c r="R74" s="61">
        <f t="shared" si="11"/>
        <v>0</v>
      </c>
      <c r="S74" s="174">
        <f t="shared" si="12"/>
        <v>0</v>
      </c>
      <c r="T74" s="63"/>
      <c r="U74" s="175"/>
      <c r="V74" s="65"/>
      <c r="W74" s="61">
        <f t="shared" si="10"/>
        <v>0</v>
      </c>
      <c r="X74" s="176">
        <f t="shared" si="13"/>
        <v>0</v>
      </c>
      <c r="Y74" s="67">
        <f>Q74+T74+V74+U74</f>
        <v>0</v>
      </c>
      <c r="Z74" s="177">
        <f t="shared" si="17"/>
        <v>0</v>
      </c>
      <c r="AA74" s="69">
        <f t="shared" si="15"/>
        <v>0</v>
      </c>
      <c r="AB74" s="78"/>
      <c r="AC74" s="79"/>
    </row>
    <row r="75" spans="1:29" ht="70" customHeight="1">
      <c r="A75" s="120"/>
      <c r="B75" s="50">
        <f t="shared" si="16"/>
        <v>72</v>
      </c>
      <c r="C75" s="121" t="s">
        <v>141</v>
      </c>
      <c r="D75" s="50" t="s">
        <v>193</v>
      </c>
      <c r="E75" s="122" t="s">
        <v>194</v>
      </c>
      <c r="F75" s="123" t="s">
        <v>192</v>
      </c>
      <c r="G75" s="51" t="s">
        <v>34</v>
      </c>
      <c r="H75" s="124">
        <v>2</v>
      </c>
      <c r="I75" s="125"/>
      <c r="J75" s="125"/>
      <c r="K75" s="125"/>
      <c r="L75" s="125"/>
      <c r="M75" s="56"/>
      <c r="N75" s="57"/>
      <c r="O75" s="58"/>
      <c r="P75" s="72"/>
      <c r="Q75" s="173">
        <f t="shared" si="9"/>
        <v>0</v>
      </c>
      <c r="R75" s="61">
        <f t="shared" si="11"/>
        <v>0</v>
      </c>
      <c r="S75" s="174">
        <f t="shared" si="12"/>
        <v>0</v>
      </c>
      <c r="T75" s="63"/>
      <c r="U75" s="175"/>
      <c r="V75" s="65"/>
      <c r="W75" s="61">
        <f t="shared" si="10"/>
        <v>0</v>
      </c>
      <c r="X75" s="176">
        <f t="shared" si="13"/>
        <v>0</v>
      </c>
      <c r="Y75" s="67">
        <f t="shared" si="14"/>
        <v>0</v>
      </c>
      <c r="Z75" s="177">
        <f t="shared" si="17"/>
        <v>0</v>
      </c>
      <c r="AA75" s="69">
        <f t="shared" si="15"/>
        <v>0</v>
      </c>
      <c r="AB75" s="78"/>
      <c r="AC75" s="79"/>
    </row>
    <row r="76" spans="1:29" ht="70" customHeight="1">
      <c r="A76" s="120"/>
      <c r="B76" s="50">
        <f t="shared" si="16"/>
        <v>73</v>
      </c>
      <c r="C76" s="121" t="s">
        <v>141</v>
      </c>
      <c r="D76" s="50" t="s">
        <v>195</v>
      </c>
      <c r="E76" s="122" t="s">
        <v>196</v>
      </c>
      <c r="F76" s="123" t="s">
        <v>197</v>
      </c>
      <c r="G76" s="51" t="s">
        <v>34</v>
      </c>
      <c r="H76" s="124">
        <v>10</v>
      </c>
      <c r="I76" s="125"/>
      <c r="J76" s="125"/>
      <c r="K76" s="125"/>
      <c r="L76" s="125"/>
      <c r="M76" s="56"/>
      <c r="N76" s="57"/>
      <c r="O76" s="58"/>
      <c r="P76" s="72"/>
      <c r="Q76" s="173">
        <f t="shared" si="9"/>
        <v>0</v>
      </c>
      <c r="R76" s="61">
        <f t="shared" si="11"/>
        <v>0</v>
      </c>
      <c r="S76" s="174">
        <f t="shared" si="12"/>
        <v>0</v>
      </c>
      <c r="T76" s="63"/>
      <c r="U76" s="175"/>
      <c r="V76" s="65"/>
      <c r="W76" s="61">
        <f t="shared" si="10"/>
        <v>0</v>
      </c>
      <c r="X76" s="176">
        <f t="shared" si="13"/>
        <v>0</v>
      </c>
      <c r="Y76" s="67">
        <f t="shared" si="14"/>
        <v>0</v>
      </c>
      <c r="Z76" s="177">
        <f t="shared" si="17"/>
        <v>0</v>
      </c>
      <c r="AA76" s="69">
        <f t="shared" si="15"/>
        <v>0</v>
      </c>
      <c r="AB76" s="78"/>
      <c r="AC76" s="79"/>
    </row>
    <row r="77" spans="1:29" ht="70" customHeight="1">
      <c r="A77" s="120"/>
      <c r="B77" s="50">
        <f t="shared" si="16"/>
        <v>74</v>
      </c>
      <c r="C77" s="121" t="s">
        <v>141</v>
      </c>
      <c r="D77" s="50" t="s">
        <v>198</v>
      </c>
      <c r="E77" s="122" t="s">
        <v>199</v>
      </c>
      <c r="F77" s="123" t="s">
        <v>200</v>
      </c>
      <c r="G77" s="51" t="s">
        <v>34</v>
      </c>
      <c r="H77" s="124">
        <v>1</v>
      </c>
      <c r="I77" s="125"/>
      <c r="J77" s="125"/>
      <c r="K77" s="125"/>
      <c r="L77" s="125"/>
      <c r="M77" s="56"/>
      <c r="N77" s="57"/>
      <c r="O77" s="58"/>
      <c r="P77" s="72"/>
      <c r="Q77" s="173">
        <f t="shared" ref="Q77:Q95" si="18">N77+O77+P77</f>
        <v>0</v>
      </c>
      <c r="R77" s="61">
        <f t="shared" si="11"/>
        <v>0</v>
      </c>
      <c r="S77" s="174">
        <f t="shared" si="12"/>
        <v>0</v>
      </c>
      <c r="T77" s="63"/>
      <c r="U77" s="175"/>
      <c r="V77" s="65"/>
      <c r="W77" s="61">
        <f t="shared" si="10"/>
        <v>0</v>
      </c>
      <c r="X77" s="176">
        <f t="shared" si="13"/>
        <v>0</v>
      </c>
      <c r="Y77" s="67">
        <f t="shared" si="14"/>
        <v>0</v>
      </c>
      <c r="Z77" s="177">
        <f t="shared" si="17"/>
        <v>0</v>
      </c>
      <c r="AA77" s="69">
        <f t="shared" si="15"/>
        <v>0</v>
      </c>
      <c r="AB77" s="78"/>
      <c r="AC77" s="79"/>
    </row>
    <row r="78" spans="1:29" ht="70" customHeight="1">
      <c r="A78" s="120"/>
      <c r="B78" s="50">
        <f t="shared" si="16"/>
        <v>75</v>
      </c>
      <c r="C78" s="121" t="s">
        <v>141</v>
      </c>
      <c r="D78" s="50" t="s">
        <v>201</v>
      </c>
      <c r="E78" s="122" t="s">
        <v>202</v>
      </c>
      <c r="F78" s="123" t="s">
        <v>203</v>
      </c>
      <c r="G78" s="51" t="s">
        <v>34</v>
      </c>
      <c r="H78" s="124">
        <v>2</v>
      </c>
      <c r="I78" s="125"/>
      <c r="J78" s="125"/>
      <c r="K78" s="125"/>
      <c r="L78" s="125"/>
      <c r="M78" s="56"/>
      <c r="N78" s="57"/>
      <c r="O78" s="58"/>
      <c r="P78" s="72"/>
      <c r="Q78" s="173">
        <f t="shared" si="18"/>
        <v>0</v>
      </c>
      <c r="R78" s="61">
        <f t="shared" si="11"/>
        <v>0</v>
      </c>
      <c r="S78" s="174">
        <f t="shared" si="12"/>
        <v>0</v>
      </c>
      <c r="T78" s="63"/>
      <c r="U78" s="175"/>
      <c r="V78" s="65"/>
      <c r="W78" s="61">
        <f t="shared" si="10"/>
        <v>0</v>
      </c>
      <c r="X78" s="176">
        <f t="shared" si="13"/>
        <v>0</v>
      </c>
      <c r="Y78" s="67">
        <f t="shared" si="14"/>
        <v>0</v>
      </c>
      <c r="Z78" s="177">
        <f t="shared" si="17"/>
        <v>0</v>
      </c>
      <c r="AA78" s="69">
        <f t="shared" si="15"/>
        <v>0</v>
      </c>
      <c r="AB78" s="78"/>
      <c r="AC78" s="79"/>
    </row>
    <row r="79" spans="1:29" ht="70" customHeight="1">
      <c r="A79" s="120"/>
      <c r="B79" s="50">
        <f t="shared" si="16"/>
        <v>76</v>
      </c>
      <c r="C79" s="121" t="s">
        <v>141</v>
      </c>
      <c r="D79" s="50" t="s">
        <v>204</v>
      </c>
      <c r="E79" s="122" t="s">
        <v>205</v>
      </c>
      <c r="F79" s="123" t="s">
        <v>203</v>
      </c>
      <c r="G79" s="51" t="s">
        <v>34</v>
      </c>
      <c r="H79" s="124">
        <v>2</v>
      </c>
      <c r="I79" s="125"/>
      <c r="J79" s="125"/>
      <c r="K79" s="125"/>
      <c r="L79" s="125"/>
      <c r="M79" s="56"/>
      <c r="N79" s="57"/>
      <c r="O79" s="58"/>
      <c r="P79" s="72"/>
      <c r="Q79" s="173">
        <f t="shared" si="18"/>
        <v>0</v>
      </c>
      <c r="R79" s="61">
        <f t="shared" si="11"/>
        <v>0</v>
      </c>
      <c r="S79" s="174">
        <f t="shared" si="12"/>
        <v>0</v>
      </c>
      <c r="T79" s="63"/>
      <c r="U79" s="175"/>
      <c r="V79" s="65"/>
      <c r="W79" s="61">
        <f t="shared" si="10"/>
        <v>0</v>
      </c>
      <c r="X79" s="176">
        <f t="shared" si="13"/>
        <v>0</v>
      </c>
      <c r="Y79" s="67">
        <f t="shared" si="14"/>
        <v>0</v>
      </c>
      <c r="Z79" s="177">
        <f t="shared" si="17"/>
        <v>0</v>
      </c>
      <c r="AA79" s="69">
        <f t="shared" si="15"/>
        <v>0</v>
      </c>
      <c r="AB79" s="78"/>
      <c r="AC79" s="79"/>
    </row>
    <row r="80" spans="1:29" ht="70" customHeight="1">
      <c r="A80" s="120"/>
      <c r="B80" s="50">
        <f t="shared" si="16"/>
        <v>77</v>
      </c>
      <c r="C80" s="121" t="s">
        <v>141</v>
      </c>
      <c r="D80" s="50">
        <v>4060000034</v>
      </c>
      <c r="E80" s="122" t="s">
        <v>206</v>
      </c>
      <c r="F80" s="123" t="s">
        <v>207</v>
      </c>
      <c r="G80" s="51" t="s">
        <v>34</v>
      </c>
      <c r="H80" s="124">
        <v>2</v>
      </c>
      <c r="I80" s="125"/>
      <c r="J80" s="125"/>
      <c r="K80" s="125"/>
      <c r="L80" s="125"/>
      <c r="M80" s="56"/>
      <c r="N80" s="57"/>
      <c r="O80" s="58"/>
      <c r="P80" s="72"/>
      <c r="Q80" s="173">
        <f t="shared" si="18"/>
        <v>0</v>
      </c>
      <c r="R80" s="61">
        <f t="shared" si="11"/>
        <v>0</v>
      </c>
      <c r="S80" s="174">
        <f t="shared" si="12"/>
        <v>0</v>
      </c>
      <c r="T80" s="63"/>
      <c r="U80" s="175"/>
      <c r="V80" s="65"/>
      <c r="W80" s="61">
        <f t="shared" si="10"/>
        <v>0</v>
      </c>
      <c r="X80" s="176">
        <f t="shared" si="13"/>
        <v>0</v>
      </c>
      <c r="Y80" s="67">
        <f t="shared" si="14"/>
        <v>0</v>
      </c>
      <c r="Z80" s="177">
        <f t="shared" si="17"/>
        <v>0</v>
      </c>
      <c r="AA80" s="69">
        <f t="shared" si="15"/>
        <v>0</v>
      </c>
      <c r="AB80" s="78"/>
      <c r="AC80" s="79"/>
    </row>
    <row r="81" spans="1:29" ht="70" customHeight="1">
      <c r="A81" s="120"/>
      <c r="B81" s="50">
        <f t="shared" si="16"/>
        <v>78</v>
      </c>
      <c r="C81" s="121" t="s">
        <v>141</v>
      </c>
      <c r="D81" s="50">
        <v>4060000274</v>
      </c>
      <c r="E81" s="122" t="s">
        <v>208</v>
      </c>
      <c r="F81" s="123" t="s">
        <v>209</v>
      </c>
      <c r="G81" s="51" t="s">
        <v>34</v>
      </c>
      <c r="H81" s="124">
        <v>2</v>
      </c>
      <c r="I81" s="125"/>
      <c r="J81" s="125"/>
      <c r="K81" s="125"/>
      <c r="L81" s="125"/>
      <c r="M81" s="56"/>
      <c r="N81" s="57"/>
      <c r="O81" s="58"/>
      <c r="P81" s="72"/>
      <c r="Q81" s="173">
        <f t="shared" si="18"/>
        <v>0</v>
      </c>
      <c r="R81" s="61">
        <f t="shared" si="11"/>
        <v>0</v>
      </c>
      <c r="S81" s="174">
        <f t="shared" si="12"/>
        <v>0</v>
      </c>
      <c r="T81" s="63"/>
      <c r="U81" s="175"/>
      <c r="V81" s="65"/>
      <c r="W81" s="61">
        <f t="shared" si="10"/>
        <v>0</v>
      </c>
      <c r="X81" s="176">
        <f t="shared" si="13"/>
        <v>0</v>
      </c>
      <c r="Y81" s="67">
        <f t="shared" si="14"/>
        <v>0</v>
      </c>
      <c r="Z81" s="177">
        <f t="shared" si="17"/>
        <v>0</v>
      </c>
      <c r="AA81" s="69">
        <f t="shared" si="15"/>
        <v>0</v>
      </c>
      <c r="AB81" s="78"/>
      <c r="AC81" s="79"/>
    </row>
    <row r="82" spans="1:29" ht="70" customHeight="1">
      <c r="A82" s="120"/>
      <c r="B82" s="50">
        <f t="shared" si="16"/>
        <v>79</v>
      </c>
      <c r="C82" s="121" t="s">
        <v>141</v>
      </c>
      <c r="D82" s="50" t="s">
        <v>204</v>
      </c>
      <c r="E82" s="178" t="s">
        <v>210</v>
      </c>
      <c r="F82" s="123" t="s">
        <v>211</v>
      </c>
      <c r="G82" s="51" t="s">
        <v>34</v>
      </c>
      <c r="H82" s="124">
        <v>2</v>
      </c>
      <c r="I82" s="125"/>
      <c r="J82" s="125"/>
      <c r="K82" s="125"/>
      <c r="L82" s="125"/>
      <c r="M82" s="56"/>
      <c r="N82" s="57"/>
      <c r="O82" s="58"/>
      <c r="P82" s="72"/>
      <c r="Q82" s="173">
        <f t="shared" si="18"/>
        <v>0</v>
      </c>
      <c r="R82" s="61">
        <f t="shared" si="11"/>
        <v>0</v>
      </c>
      <c r="S82" s="174">
        <f t="shared" si="12"/>
        <v>0</v>
      </c>
      <c r="T82" s="63"/>
      <c r="U82" s="175"/>
      <c r="V82" s="65"/>
      <c r="W82" s="61">
        <f t="shared" si="10"/>
        <v>0</v>
      </c>
      <c r="X82" s="176">
        <f t="shared" si="13"/>
        <v>0</v>
      </c>
      <c r="Y82" s="67">
        <f t="shared" si="14"/>
        <v>0</v>
      </c>
      <c r="Z82" s="177">
        <f t="shared" si="17"/>
        <v>0</v>
      </c>
      <c r="AA82" s="69">
        <f t="shared" si="15"/>
        <v>0</v>
      </c>
      <c r="AB82" s="78"/>
      <c r="AC82" s="79"/>
    </row>
    <row r="83" spans="1:29" ht="70" customHeight="1">
      <c r="A83" s="120"/>
      <c r="B83" s="50">
        <f t="shared" si="16"/>
        <v>80</v>
      </c>
      <c r="C83" s="121" t="s">
        <v>212</v>
      </c>
      <c r="D83" s="50" t="s">
        <v>213</v>
      </c>
      <c r="E83" s="122" t="s">
        <v>214</v>
      </c>
      <c r="F83" s="123" t="s">
        <v>215</v>
      </c>
      <c r="G83" s="51" t="s">
        <v>34</v>
      </c>
      <c r="H83" s="124">
        <v>1</v>
      </c>
      <c r="I83" s="125"/>
      <c r="J83" s="125"/>
      <c r="K83" s="125"/>
      <c r="L83" s="125"/>
      <c r="M83" s="56"/>
      <c r="N83" s="57"/>
      <c r="O83" s="58"/>
      <c r="P83" s="72"/>
      <c r="Q83" s="173">
        <f t="shared" si="18"/>
        <v>0</v>
      </c>
      <c r="R83" s="61">
        <f t="shared" si="11"/>
        <v>0</v>
      </c>
      <c r="S83" s="174">
        <f t="shared" si="12"/>
        <v>0</v>
      </c>
      <c r="T83" s="63"/>
      <c r="U83" s="175"/>
      <c r="V83" s="65"/>
      <c r="W83" s="61">
        <f t="shared" si="10"/>
        <v>0</v>
      </c>
      <c r="X83" s="176">
        <f t="shared" si="13"/>
        <v>0</v>
      </c>
      <c r="Y83" s="67">
        <f t="shared" si="14"/>
        <v>0</v>
      </c>
      <c r="Z83" s="177">
        <f t="shared" si="17"/>
        <v>0</v>
      </c>
      <c r="AA83" s="69">
        <f t="shared" si="15"/>
        <v>0</v>
      </c>
      <c r="AB83" s="78"/>
      <c r="AC83" s="79"/>
    </row>
    <row r="84" spans="1:29" s="12" customFormat="1" ht="70" customHeight="1">
      <c r="A84" s="120"/>
      <c r="B84" s="50">
        <f t="shared" si="16"/>
        <v>81</v>
      </c>
      <c r="C84" s="121" t="s">
        <v>216</v>
      </c>
      <c r="D84" s="50" t="s">
        <v>217</v>
      </c>
      <c r="E84" s="123" t="s">
        <v>218</v>
      </c>
      <c r="F84" s="123" t="s">
        <v>219</v>
      </c>
      <c r="G84" s="51" t="s">
        <v>34</v>
      </c>
      <c r="H84" s="124">
        <v>1</v>
      </c>
      <c r="I84" s="125"/>
      <c r="J84" s="125"/>
      <c r="K84" s="125"/>
      <c r="L84" s="125"/>
      <c r="M84" s="56"/>
      <c r="N84" s="57"/>
      <c r="O84" s="58"/>
      <c r="P84" s="72"/>
      <c r="Q84" s="173">
        <f t="shared" si="18"/>
        <v>0</v>
      </c>
      <c r="R84" s="61">
        <f t="shared" si="11"/>
        <v>0</v>
      </c>
      <c r="S84" s="174">
        <f t="shared" si="12"/>
        <v>0</v>
      </c>
      <c r="T84" s="63"/>
      <c r="U84" s="175"/>
      <c r="V84" s="65"/>
      <c r="W84" s="61">
        <f t="shared" si="10"/>
        <v>0</v>
      </c>
      <c r="X84" s="176">
        <f t="shared" si="13"/>
        <v>0</v>
      </c>
      <c r="Y84" s="67">
        <f t="shared" si="14"/>
        <v>0</v>
      </c>
      <c r="Z84" s="177">
        <f t="shared" si="17"/>
        <v>0</v>
      </c>
      <c r="AA84" s="69">
        <f t="shared" si="15"/>
        <v>0</v>
      </c>
      <c r="AB84" s="78"/>
      <c r="AC84" s="79"/>
    </row>
    <row r="85" spans="1:29" s="12" customFormat="1" ht="70" customHeight="1">
      <c r="A85" s="120"/>
      <c r="B85" s="50">
        <f t="shared" si="16"/>
        <v>82</v>
      </c>
      <c r="C85" s="121" t="s">
        <v>212</v>
      </c>
      <c r="D85" s="50" t="s">
        <v>220</v>
      </c>
      <c r="E85" s="123" t="s">
        <v>221</v>
      </c>
      <c r="F85" s="123" t="s">
        <v>222</v>
      </c>
      <c r="G85" s="51" t="s">
        <v>34</v>
      </c>
      <c r="H85" s="124">
        <v>1</v>
      </c>
      <c r="I85" s="125"/>
      <c r="J85" s="125"/>
      <c r="K85" s="125"/>
      <c r="L85" s="125"/>
      <c r="M85" s="56"/>
      <c r="N85" s="57"/>
      <c r="O85" s="58"/>
      <c r="P85" s="72"/>
      <c r="Q85" s="173">
        <f t="shared" si="18"/>
        <v>0</v>
      </c>
      <c r="R85" s="61">
        <f t="shared" si="11"/>
        <v>0</v>
      </c>
      <c r="S85" s="174">
        <f t="shared" si="12"/>
        <v>0</v>
      </c>
      <c r="T85" s="63"/>
      <c r="U85" s="175"/>
      <c r="V85" s="65"/>
      <c r="W85" s="61">
        <f t="shared" si="10"/>
        <v>0</v>
      </c>
      <c r="X85" s="176">
        <f t="shared" si="13"/>
        <v>0</v>
      </c>
      <c r="Y85" s="67">
        <f t="shared" si="14"/>
        <v>0</v>
      </c>
      <c r="Z85" s="177">
        <f t="shared" si="17"/>
        <v>0</v>
      </c>
      <c r="AA85" s="69">
        <f t="shared" si="15"/>
        <v>0</v>
      </c>
      <c r="AB85" s="78"/>
      <c r="AC85" s="79"/>
    </row>
    <row r="86" spans="1:29" s="12" customFormat="1" ht="70" customHeight="1">
      <c r="A86" s="120"/>
      <c r="B86" s="50">
        <f t="shared" si="16"/>
        <v>83</v>
      </c>
      <c r="C86" s="121" t="s">
        <v>223</v>
      </c>
      <c r="D86" s="50" t="s">
        <v>224</v>
      </c>
      <c r="E86" s="123" t="s">
        <v>214</v>
      </c>
      <c r="F86" s="123" t="s">
        <v>225</v>
      </c>
      <c r="G86" s="51" t="s">
        <v>34</v>
      </c>
      <c r="H86" s="124">
        <v>1</v>
      </c>
      <c r="I86" s="125"/>
      <c r="J86" s="125"/>
      <c r="K86" s="125"/>
      <c r="L86" s="125"/>
      <c r="M86" s="56"/>
      <c r="N86" s="57"/>
      <c r="O86" s="58"/>
      <c r="P86" s="72"/>
      <c r="Q86" s="173">
        <f t="shared" si="18"/>
        <v>0</v>
      </c>
      <c r="R86" s="61">
        <f t="shared" si="11"/>
        <v>0</v>
      </c>
      <c r="S86" s="174">
        <f t="shared" si="12"/>
        <v>0</v>
      </c>
      <c r="T86" s="63"/>
      <c r="U86" s="175"/>
      <c r="V86" s="65"/>
      <c r="W86" s="61">
        <f t="shared" si="10"/>
        <v>0</v>
      </c>
      <c r="X86" s="176">
        <f t="shared" si="13"/>
        <v>0</v>
      </c>
      <c r="Y86" s="67">
        <f t="shared" si="14"/>
        <v>0</v>
      </c>
      <c r="Z86" s="177">
        <f t="shared" si="17"/>
        <v>0</v>
      </c>
      <c r="AA86" s="69">
        <f t="shared" si="15"/>
        <v>0</v>
      </c>
      <c r="AB86" s="78"/>
      <c r="AC86" s="79"/>
    </row>
    <row r="87" spans="1:29" s="12" customFormat="1" ht="70" customHeight="1">
      <c r="A87" s="120"/>
      <c r="B87" s="50">
        <f t="shared" si="16"/>
        <v>84</v>
      </c>
      <c r="C87" s="121" t="s">
        <v>226</v>
      </c>
      <c r="D87" s="50" t="s">
        <v>227</v>
      </c>
      <c r="E87" s="123" t="s">
        <v>228</v>
      </c>
      <c r="F87" s="123" t="s">
        <v>229</v>
      </c>
      <c r="G87" s="51" t="s">
        <v>34</v>
      </c>
      <c r="H87" s="124">
        <v>1</v>
      </c>
      <c r="I87" s="125"/>
      <c r="J87" s="125"/>
      <c r="K87" s="125"/>
      <c r="L87" s="125"/>
      <c r="M87" s="56"/>
      <c r="N87" s="57"/>
      <c r="O87" s="58"/>
      <c r="P87" s="72"/>
      <c r="Q87" s="173">
        <f t="shared" si="18"/>
        <v>0</v>
      </c>
      <c r="R87" s="61">
        <f t="shared" si="11"/>
        <v>0</v>
      </c>
      <c r="S87" s="174">
        <f t="shared" si="12"/>
        <v>0</v>
      </c>
      <c r="T87" s="63"/>
      <c r="U87" s="175"/>
      <c r="V87" s="65"/>
      <c r="W87" s="61">
        <f t="shared" si="10"/>
        <v>0</v>
      </c>
      <c r="X87" s="176">
        <f t="shared" si="13"/>
        <v>0</v>
      </c>
      <c r="Y87" s="67">
        <f t="shared" si="14"/>
        <v>0</v>
      </c>
      <c r="Z87" s="177">
        <f t="shared" si="17"/>
        <v>0</v>
      </c>
      <c r="AA87" s="69">
        <f t="shared" si="15"/>
        <v>0</v>
      </c>
      <c r="AB87" s="78"/>
      <c r="AC87" s="79"/>
    </row>
    <row r="88" spans="1:29" s="12" customFormat="1" ht="70" customHeight="1">
      <c r="A88" s="120"/>
      <c r="B88" s="50">
        <f t="shared" si="16"/>
        <v>85</v>
      </c>
      <c r="C88" s="121" t="s">
        <v>230</v>
      </c>
      <c r="D88" s="50" t="s">
        <v>231</v>
      </c>
      <c r="E88" s="123" t="s">
        <v>232</v>
      </c>
      <c r="F88" s="123" t="s">
        <v>233</v>
      </c>
      <c r="G88" s="51" t="s">
        <v>34</v>
      </c>
      <c r="H88" s="124">
        <v>7</v>
      </c>
      <c r="I88" s="125"/>
      <c r="J88" s="125"/>
      <c r="K88" s="125"/>
      <c r="L88" s="125"/>
      <c r="M88" s="56"/>
      <c r="N88" s="57"/>
      <c r="O88" s="58"/>
      <c r="P88" s="72"/>
      <c r="Q88" s="173">
        <f t="shared" si="18"/>
        <v>0</v>
      </c>
      <c r="R88" s="61">
        <f t="shared" si="11"/>
        <v>0</v>
      </c>
      <c r="S88" s="174">
        <f t="shared" si="12"/>
        <v>0</v>
      </c>
      <c r="T88" s="63"/>
      <c r="U88" s="175"/>
      <c r="V88" s="65"/>
      <c r="W88" s="61">
        <f t="shared" si="10"/>
        <v>0</v>
      </c>
      <c r="X88" s="176">
        <f t="shared" si="13"/>
        <v>0</v>
      </c>
      <c r="Y88" s="67">
        <f t="shared" si="14"/>
        <v>0</v>
      </c>
      <c r="Z88" s="177">
        <f t="shared" si="17"/>
        <v>0</v>
      </c>
      <c r="AA88" s="69">
        <f t="shared" si="15"/>
        <v>0</v>
      </c>
      <c r="AB88" s="78"/>
      <c r="AC88" s="79"/>
    </row>
    <row r="89" spans="1:29" s="12" customFormat="1" ht="70" customHeight="1">
      <c r="A89" s="120"/>
      <c r="B89" s="50">
        <f t="shared" si="16"/>
        <v>86</v>
      </c>
      <c r="C89" s="121" t="s">
        <v>230</v>
      </c>
      <c r="D89" s="50" t="s">
        <v>234</v>
      </c>
      <c r="E89" s="123" t="s">
        <v>235</v>
      </c>
      <c r="F89" s="123" t="s">
        <v>236</v>
      </c>
      <c r="G89" s="51" t="s">
        <v>34</v>
      </c>
      <c r="H89" s="124">
        <v>14</v>
      </c>
      <c r="I89" s="125"/>
      <c r="J89" s="125"/>
      <c r="K89" s="125"/>
      <c r="L89" s="125"/>
      <c r="M89" s="56"/>
      <c r="N89" s="57"/>
      <c r="O89" s="58"/>
      <c r="P89" s="72"/>
      <c r="Q89" s="173">
        <f t="shared" si="18"/>
        <v>0</v>
      </c>
      <c r="R89" s="61">
        <f t="shared" si="11"/>
        <v>0</v>
      </c>
      <c r="S89" s="174">
        <f t="shared" si="12"/>
        <v>0</v>
      </c>
      <c r="T89" s="63"/>
      <c r="U89" s="175"/>
      <c r="V89" s="65"/>
      <c r="W89" s="61">
        <f t="shared" si="10"/>
        <v>0</v>
      </c>
      <c r="X89" s="176">
        <f t="shared" si="13"/>
        <v>0</v>
      </c>
      <c r="Y89" s="67">
        <f t="shared" si="14"/>
        <v>0</v>
      </c>
      <c r="Z89" s="177">
        <f t="shared" si="17"/>
        <v>0</v>
      </c>
      <c r="AA89" s="69">
        <f t="shared" si="15"/>
        <v>0</v>
      </c>
      <c r="AB89" s="78"/>
      <c r="AC89" s="79"/>
    </row>
    <row r="90" spans="1:29" s="12" customFormat="1" ht="70" customHeight="1">
      <c r="A90" s="120"/>
      <c r="B90" s="50">
        <f t="shared" si="16"/>
        <v>87</v>
      </c>
      <c r="C90" s="121" t="s">
        <v>230</v>
      </c>
      <c r="D90" s="50" t="s">
        <v>237</v>
      </c>
      <c r="E90" s="123" t="s">
        <v>238</v>
      </c>
      <c r="F90" s="123" t="s">
        <v>239</v>
      </c>
      <c r="G90" s="51" t="s">
        <v>34</v>
      </c>
      <c r="H90" s="124">
        <v>7</v>
      </c>
      <c r="I90" s="125"/>
      <c r="J90" s="125"/>
      <c r="K90" s="125"/>
      <c r="L90" s="125"/>
      <c r="M90" s="56"/>
      <c r="N90" s="57"/>
      <c r="O90" s="58"/>
      <c r="P90" s="72"/>
      <c r="Q90" s="173">
        <f t="shared" si="18"/>
        <v>0</v>
      </c>
      <c r="R90" s="61">
        <f t="shared" si="11"/>
        <v>0</v>
      </c>
      <c r="S90" s="174">
        <f t="shared" si="12"/>
        <v>0</v>
      </c>
      <c r="T90" s="63"/>
      <c r="U90" s="175"/>
      <c r="V90" s="65"/>
      <c r="W90" s="61">
        <f t="shared" si="10"/>
        <v>0</v>
      </c>
      <c r="X90" s="176">
        <f t="shared" si="13"/>
        <v>0</v>
      </c>
      <c r="Y90" s="67">
        <f t="shared" si="14"/>
        <v>0</v>
      </c>
      <c r="Z90" s="177">
        <f t="shared" si="17"/>
        <v>0</v>
      </c>
      <c r="AA90" s="69">
        <f t="shared" si="15"/>
        <v>0</v>
      </c>
      <c r="AB90" s="78"/>
      <c r="AC90" s="79"/>
    </row>
    <row r="91" spans="1:29" s="12" customFormat="1" ht="70" customHeight="1">
      <c r="A91" s="120"/>
      <c r="B91" s="50">
        <f t="shared" si="16"/>
        <v>88</v>
      </c>
      <c r="C91" s="121" t="s">
        <v>240</v>
      </c>
      <c r="D91" s="50" t="s">
        <v>241</v>
      </c>
      <c r="E91" s="123" t="s">
        <v>242</v>
      </c>
      <c r="F91" s="123" t="s">
        <v>243</v>
      </c>
      <c r="G91" s="51" t="s">
        <v>34</v>
      </c>
      <c r="H91" s="124">
        <v>2</v>
      </c>
      <c r="I91" s="125"/>
      <c r="J91" s="125"/>
      <c r="K91" s="125"/>
      <c r="L91" s="125"/>
      <c r="M91" s="56"/>
      <c r="N91" s="57"/>
      <c r="O91" s="58"/>
      <c r="P91" s="72"/>
      <c r="Q91" s="173">
        <f t="shared" si="18"/>
        <v>0</v>
      </c>
      <c r="R91" s="61">
        <f t="shared" si="11"/>
        <v>0</v>
      </c>
      <c r="S91" s="174">
        <f t="shared" si="12"/>
        <v>0</v>
      </c>
      <c r="T91" s="63"/>
      <c r="U91" s="175"/>
      <c r="V91" s="65"/>
      <c r="W91" s="61">
        <f t="shared" si="10"/>
        <v>0</v>
      </c>
      <c r="X91" s="176">
        <f t="shared" si="13"/>
        <v>0</v>
      </c>
      <c r="Y91" s="67">
        <f t="shared" si="14"/>
        <v>0</v>
      </c>
      <c r="Z91" s="177">
        <f t="shared" si="17"/>
        <v>0</v>
      </c>
      <c r="AA91" s="69">
        <f t="shared" si="15"/>
        <v>0</v>
      </c>
      <c r="AB91" s="78"/>
      <c r="AC91" s="79"/>
    </row>
    <row r="92" spans="1:29" s="12" customFormat="1" ht="70" customHeight="1">
      <c r="A92" s="120"/>
      <c r="B92" s="50">
        <f t="shared" si="16"/>
        <v>89</v>
      </c>
      <c r="C92" s="121" t="s">
        <v>240</v>
      </c>
      <c r="D92" s="50" t="s">
        <v>241</v>
      </c>
      <c r="E92" s="123" t="s">
        <v>244</v>
      </c>
      <c r="F92" s="123" t="s">
        <v>245</v>
      </c>
      <c r="G92" s="51" t="s">
        <v>34</v>
      </c>
      <c r="H92" s="124">
        <v>2</v>
      </c>
      <c r="I92" s="125"/>
      <c r="J92" s="125"/>
      <c r="K92" s="125"/>
      <c r="L92" s="125"/>
      <c r="M92" s="56"/>
      <c r="N92" s="57"/>
      <c r="O92" s="58"/>
      <c r="P92" s="72"/>
      <c r="Q92" s="173">
        <f t="shared" si="18"/>
        <v>0</v>
      </c>
      <c r="R92" s="61">
        <f t="shared" si="11"/>
        <v>0</v>
      </c>
      <c r="S92" s="174">
        <f t="shared" si="12"/>
        <v>0</v>
      </c>
      <c r="T92" s="63"/>
      <c r="U92" s="175"/>
      <c r="V92" s="65"/>
      <c r="W92" s="61">
        <f t="shared" si="10"/>
        <v>0</v>
      </c>
      <c r="X92" s="176">
        <f t="shared" si="13"/>
        <v>0</v>
      </c>
      <c r="Y92" s="67">
        <f t="shared" si="14"/>
        <v>0</v>
      </c>
      <c r="Z92" s="177">
        <f t="shared" si="17"/>
        <v>0</v>
      </c>
      <c r="AA92" s="69">
        <f t="shared" si="15"/>
        <v>0</v>
      </c>
      <c r="AB92" s="78"/>
      <c r="AC92" s="79"/>
    </row>
    <row r="93" spans="1:29" s="12" customFormat="1" ht="70" customHeight="1">
      <c r="A93" s="120"/>
      <c r="B93" s="50">
        <f t="shared" si="16"/>
        <v>90</v>
      </c>
      <c r="C93" s="121" t="s">
        <v>240</v>
      </c>
      <c r="D93" s="50" t="s">
        <v>241</v>
      </c>
      <c r="E93" s="123" t="s">
        <v>246</v>
      </c>
      <c r="F93" s="123" t="s">
        <v>247</v>
      </c>
      <c r="G93" s="51" t="s">
        <v>34</v>
      </c>
      <c r="H93" s="124">
        <v>1</v>
      </c>
      <c r="I93" s="125"/>
      <c r="J93" s="125"/>
      <c r="K93" s="125"/>
      <c r="L93" s="125"/>
      <c r="M93" s="56"/>
      <c r="N93" s="57"/>
      <c r="O93" s="58"/>
      <c r="P93" s="72"/>
      <c r="Q93" s="173">
        <f t="shared" si="18"/>
        <v>0</v>
      </c>
      <c r="R93" s="61">
        <f t="shared" si="11"/>
        <v>0</v>
      </c>
      <c r="S93" s="174">
        <f t="shared" si="12"/>
        <v>0</v>
      </c>
      <c r="T93" s="63"/>
      <c r="U93" s="175"/>
      <c r="V93" s="65"/>
      <c r="W93" s="61">
        <f t="shared" si="10"/>
        <v>0</v>
      </c>
      <c r="X93" s="176">
        <f t="shared" si="13"/>
        <v>0</v>
      </c>
      <c r="Y93" s="67">
        <f t="shared" si="14"/>
        <v>0</v>
      </c>
      <c r="Z93" s="177">
        <f t="shared" si="17"/>
        <v>0</v>
      </c>
      <c r="AA93" s="69">
        <f t="shared" si="15"/>
        <v>0</v>
      </c>
      <c r="AB93" s="78"/>
      <c r="AC93" s="79"/>
    </row>
    <row r="94" spans="1:29" s="12" customFormat="1" ht="70" customHeight="1">
      <c r="A94" s="120"/>
      <c r="B94" s="50">
        <f t="shared" si="16"/>
        <v>91</v>
      </c>
      <c r="C94" s="121" t="s">
        <v>248</v>
      </c>
      <c r="D94" s="50" t="s">
        <v>249</v>
      </c>
      <c r="E94" s="123" t="s">
        <v>250</v>
      </c>
      <c r="F94" s="123" t="s">
        <v>251</v>
      </c>
      <c r="G94" s="51" t="s">
        <v>34</v>
      </c>
      <c r="H94" s="124">
        <v>1</v>
      </c>
      <c r="I94" s="125"/>
      <c r="J94" s="125"/>
      <c r="K94" s="125"/>
      <c r="L94" s="125"/>
      <c r="M94" s="56"/>
      <c r="N94" s="57"/>
      <c r="O94" s="58"/>
      <c r="P94" s="72"/>
      <c r="Q94" s="173">
        <f t="shared" si="18"/>
        <v>0</v>
      </c>
      <c r="R94" s="61">
        <f t="shared" si="11"/>
        <v>0</v>
      </c>
      <c r="S94" s="174">
        <f t="shared" si="12"/>
        <v>0</v>
      </c>
      <c r="T94" s="63"/>
      <c r="U94" s="175"/>
      <c r="V94" s="65"/>
      <c r="W94" s="61">
        <f t="shared" si="10"/>
        <v>0</v>
      </c>
      <c r="X94" s="176">
        <f t="shared" si="13"/>
        <v>0</v>
      </c>
      <c r="Y94" s="67">
        <f t="shared" si="14"/>
        <v>0</v>
      </c>
      <c r="Z94" s="177">
        <f t="shared" si="17"/>
        <v>0</v>
      </c>
      <c r="AA94" s="69">
        <f t="shared" si="15"/>
        <v>0</v>
      </c>
      <c r="AB94" s="78"/>
      <c r="AC94" s="79"/>
    </row>
    <row r="95" spans="1:29" s="12" customFormat="1" ht="70" customHeight="1" thickBot="1">
      <c r="A95" s="144"/>
      <c r="B95" s="81">
        <f t="shared" si="16"/>
        <v>92</v>
      </c>
      <c r="C95" s="145" t="s">
        <v>248</v>
      </c>
      <c r="D95" s="81" t="s">
        <v>249</v>
      </c>
      <c r="E95" s="147" t="s">
        <v>252</v>
      </c>
      <c r="F95" s="147" t="s">
        <v>253</v>
      </c>
      <c r="G95" s="82" t="s">
        <v>34</v>
      </c>
      <c r="H95" s="148">
        <v>1</v>
      </c>
      <c r="I95" s="149"/>
      <c r="J95" s="149"/>
      <c r="K95" s="149"/>
      <c r="L95" s="149"/>
      <c r="M95" s="87"/>
      <c r="N95" s="88"/>
      <c r="O95" s="89"/>
      <c r="P95" s="90"/>
      <c r="Q95" s="91">
        <f t="shared" si="18"/>
        <v>0</v>
      </c>
      <c r="R95" s="92">
        <f t="shared" si="11"/>
        <v>0</v>
      </c>
      <c r="S95" s="93">
        <f t="shared" si="12"/>
        <v>0</v>
      </c>
      <c r="T95" s="94"/>
      <c r="U95" s="179"/>
      <c r="V95" s="96"/>
      <c r="W95" s="92">
        <f t="shared" si="10"/>
        <v>0</v>
      </c>
      <c r="X95" s="97">
        <f t="shared" si="13"/>
        <v>0</v>
      </c>
      <c r="Y95" s="98">
        <f t="shared" si="14"/>
        <v>0</v>
      </c>
      <c r="Z95" s="150">
        <f t="shared" si="17"/>
        <v>0</v>
      </c>
      <c r="AA95" s="151">
        <f t="shared" si="15"/>
        <v>0</v>
      </c>
      <c r="AB95" s="78"/>
      <c r="AC95" s="79"/>
    </row>
    <row r="96" spans="1:29" ht="31" thickTop="1"/>
  </sheetData>
  <autoFilter ref="N3:AA3" xr:uid="{43BE27BA-15E8-4000-8179-E54AA0E0C121}"/>
  <mergeCells count="17">
    <mergeCell ref="T2:X2"/>
    <mergeCell ref="Y2:AA2"/>
    <mergeCell ref="A4:A17"/>
    <mergeCell ref="A18:A55"/>
    <mergeCell ref="A56:A95"/>
    <mergeCell ref="F2:F3"/>
    <mergeCell ref="G2:G3"/>
    <mergeCell ref="H2:H3"/>
    <mergeCell ref="I2:L2"/>
    <mergeCell ref="M2:M3"/>
    <mergeCell ref="N2:S2"/>
    <mergeCell ref="A1:C1"/>
    <mergeCell ref="A2:A3"/>
    <mergeCell ref="B2:B3"/>
    <mergeCell ref="C2:C3"/>
    <mergeCell ref="D2:D3"/>
    <mergeCell ref="E2:E3"/>
  </mergeCells>
  <phoneticPr fontId="3" type="noConversion"/>
  <conditionalFormatting sqref="E82">
    <cfRule type="duplicateValues" dxfId="4" priority="1"/>
  </conditionalFormatting>
  <conditionalFormatting sqref="E96:E1048576 E1:E81 E83">
    <cfRule type="duplicateValues" dxfId="3" priority="2"/>
  </conditionalFormatting>
  <conditionalFormatting sqref="S4:S95 X4:X95">
    <cfRule type="cellIs" dxfId="2" priority="5" operator="lessThan">
      <formula>120</formula>
    </cfRule>
  </conditionalFormatting>
  <conditionalFormatting sqref="AA4:AA95">
    <cfRule type="cellIs" dxfId="1" priority="3" operator="lessThan">
      <formula>180</formula>
    </cfRule>
    <cfRule type="cellIs" dxfId="0" priority="4" operator="lessThan">
      <formula>130</formula>
    </cfRule>
  </conditionalFormatting>
  <printOptions horizontalCentered="1" verticalCentered="1"/>
  <pageMargins left="0" right="0" top="0" bottom="0" header="0" footer="0"/>
  <pageSetup paperSize="9" scale="1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수빈</dc:creator>
  <cp:lastModifiedBy>박 수빈</cp:lastModifiedBy>
  <dcterms:created xsi:type="dcterms:W3CDTF">2026-10-11T02:06:02Z</dcterms:created>
  <dcterms:modified xsi:type="dcterms:W3CDTF">2026-10-11T02:14:02Z</dcterms:modified>
</cp:coreProperties>
</file>